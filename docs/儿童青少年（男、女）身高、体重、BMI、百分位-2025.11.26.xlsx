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5F58D96-1A57-4B83-B4C7-E5779176BA02}" xr6:coauthVersionLast="47" xr6:coauthVersionMax="47" xr10:uidLastSave="{00000000-0000-0000-0000-000000000000}"/>
  <bookViews>
    <workbookView xWindow="-108" yWindow="-108" windowWidth="30936" windowHeight="16896" tabRatio="780" xr2:uid="{00000000-000D-0000-FFFF-FFFF00000000}"/>
  </bookViews>
  <sheets>
    <sheet name="百分位指标源数据-男" sheetId="1" r:id="rId1"/>
    <sheet name="百分位指标源数据-女" sheetId="10" r:id="rId2"/>
    <sheet name="0-3岁儿童（男）身高、体重、BMI" sheetId="9" r:id="rId3"/>
    <sheet name="3-18岁儿童青少年（男）身高、体重、BMI" sheetId="12" r:id="rId4"/>
    <sheet name="0-3岁儿童（女）身高、体重、BMI" sheetId="11" r:id="rId5"/>
    <sheet name="3-18岁儿童青少年（女）身高、体重、BMI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12" l="1"/>
  <c r="AB4" i="12"/>
  <c r="AB5" i="12"/>
  <c r="AB6" i="12"/>
  <c r="AB7" i="12"/>
  <c r="AB8" i="12"/>
  <c r="AB9" i="12"/>
  <c r="AC9" i="12" s="1"/>
  <c r="AB10" i="12"/>
  <c r="AC10" i="12" s="1"/>
  <c r="AB11" i="12"/>
  <c r="AC11" i="12" s="1"/>
  <c r="AB12" i="12"/>
  <c r="AC12" i="12" s="1"/>
  <c r="AB13" i="12"/>
  <c r="AC13" i="12" s="1"/>
  <c r="AB14" i="12"/>
  <c r="AC14" i="12" s="1"/>
  <c r="AB15" i="12"/>
  <c r="AC15" i="12" s="1"/>
  <c r="AB16" i="12"/>
  <c r="AC16" i="12" s="1"/>
  <c r="AB17" i="12"/>
  <c r="AC17" i="12" s="1"/>
  <c r="AB18" i="12"/>
  <c r="AC18" i="12" s="1"/>
  <c r="AB19" i="12"/>
  <c r="AC19" i="12" s="1"/>
  <c r="AB20" i="12"/>
  <c r="AC20" i="12" s="1"/>
  <c r="AB21" i="12"/>
  <c r="AC21" i="12" s="1"/>
  <c r="AB22" i="12"/>
  <c r="AC22" i="12" s="1"/>
  <c r="AB23" i="12"/>
  <c r="AC23" i="12" s="1"/>
  <c r="AB24" i="12"/>
  <c r="AC24" i="12" s="1"/>
  <c r="AB25" i="12"/>
  <c r="AC25" i="12" s="1"/>
  <c r="AB26" i="12"/>
  <c r="AC26" i="12" s="1"/>
  <c r="AB27" i="12"/>
  <c r="AC27" i="12" s="1"/>
  <c r="AB28" i="12"/>
  <c r="AC28" i="12" s="1"/>
  <c r="AB29" i="12"/>
  <c r="AC29" i="12" s="1"/>
  <c r="AB30" i="12"/>
  <c r="AC30" i="12" s="1"/>
  <c r="AB31" i="12"/>
  <c r="AC31" i="12" s="1"/>
  <c r="AB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AA5" i="12"/>
  <c r="AA4" i="12"/>
  <c r="AA3" i="12"/>
  <c r="AA2" i="12"/>
  <c r="Z3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2" i="12"/>
  <c r="Y3" i="12"/>
  <c r="Y4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2" i="12"/>
  <c r="X31" i="12"/>
  <c r="X30" i="12"/>
  <c r="X29" i="12"/>
  <c r="X28" i="12"/>
  <c r="X27" i="12"/>
  <c r="X26" i="12"/>
  <c r="X25" i="12"/>
  <c r="X24" i="12"/>
  <c r="X23" i="12"/>
  <c r="X22" i="12"/>
  <c r="X21" i="12"/>
  <c r="X20" i="12"/>
  <c r="X19" i="12"/>
  <c r="X18" i="12"/>
  <c r="X17" i="12"/>
  <c r="X16" i="12"/>
  <c r="X15" i="12"/>
  <c r="X14" i="12"/>
  <c r="X13" i="12"/>
  <c r="X12" i="12"/>
  <c r="X11" i="12"/>
  <c r="X10" i="12"/>
  <c r="X9" i="12"/>
  <c r="X8" i="12"/>
  <c r="X7" i="12"/>
  <c r="X6" i="12"/>
  <c r="X5" i="12"/>
  <c r="X4" i="12"/>
  <c r="X3" i="12"/>
  <c r="X2" i="12"/>
  <c r="AA7" i="11"/>
  <c r="AA6" i="11"/>
  <c r="AA5" i="11"/>
  <c r="AA4" i="11"/>
  <c r="AA3" i="11"/>
  <c r="X7" i="11"/>
  <c r="X6" i="11"/>
  <c r="X5" i="11"/>
  <c r="X4" i="11"/>
  <c r="X3" i="11"/>
  <c r="X2" i="11"/>
  <c r="Y2" i="11"/>
  <c r="Y3" i="11"/>
  <c r="Y4" i="11"/>
  <c r="Y5" i="11"/>
  <c r="Z2" i="11"/>
  <c r="AA2" i="11"/>
  <c r="Z3" i="11"/>
  <c r="Z4" i="11"/>
  <c r="Z5" i="11"/>
  <c r="AA13" i="11"/>
  <c r="AA12" i="11"/>
  <c r="AA11" i="11"/>
  <c r="AA10" i="11"/>
  <c r="AA9" i="11"/>
  <c r="AA8" i="11"/>
  <c r="AB3" i="11"/>
  <c r="AC3" i="11" s="1"/>
  <c r="AB4" i="11"/>
  <c r="AC4" i="11" s="1"/>
  <c r="AB5" i="11"/>
  <c r="AB6" i="11"/>
  <c r="AB7" i="11"/>
  <c r="AB8" i="11"/>
  <c r="AC8" i="11" s="1"/>
  <c r="AB9" i="11"/>
  <c r="AC9" i="11" s="1"/>
  <c r="AB10" i="11"/>
  <c r="AC10" i="11" s="1"/>
  <c r="AB11" i="11"/>
  <c r="AC11" i="11" s="1"/>
  <c r="AB12" i="11"/>
  <c r="AC12" i="11" s="1"/>
  <c r="AB13" i="11"/>
  <c r="AC13" i="11" s="1"/>
  <c r="AB2" i="11"/>
  <c r="AC2" i="11" s="1"/>
  <c r="Z13" i="11"/>
  <c r="Z12" i="11"/>
  <c r="Z11" i="11"/>
  <c r="Z10" i="11"/>
  <c r="Z9" i="11"/>
  <c r="Z8" i="11"/>
  <c r="Z7" i="11"/>
  <c r="Z6" i="11"/>
  <c r="Y13" i="11"/>
  <c r="Y12" i="11"/>
  <c r="Y11" i="11"/>
  <c r="Y10" i="11"/>
  <c r="Y9" i="11"/>
  <c r="Y8" i="11"/>
  <c r="Y7" i="11"/>
  <c r="Y6" i="11"/>
  <c r="Y5" i="9"/>
  <c r="AB13" i="9"/>
  <c r="AC13" i="9" s="1"/>
  <c r="AA13" i="9"/>
  <c r="Z13" i="9"/>
  <c r="Y13" i="9"/>
  <c r="AB12" i="9"/>
  <c r="AC12" i="9" s="1"/>
  <c r="AA12" i="9"/>
  <c r="Z12" i="9"/>
  <c r="Y12" i="9"/>
  <c r="AB11" i="9"/>
  <c r="AC11" i="9" s="1"/>
  <c r="AA11" i="9"/>
  <c r="Z11" i="9"/>
  <c r="Y11" i="9"/>
  <c r="AB10" i="9"/>
  <c r="AC10" i="9" s="1"/>
  <c r="AA10" i="9"/>
  <c r="Z10" i="9"/>
  <c r="Y10" i="9"/>
  <c r="AB9" i="9"/>
  <c r="AC9" i="9" s="1"/>
  <c r="AA9" i="9"/>
  <c r="Z9" i="9"/>
  <c r="Y9" i="9"/>
  <c r="AB8" i="9"/>
  <c r="AC8" i="9" s="1"/>
  <c r="AA8" i="9"/>
  <c r="Z8" i="9"/>
  <c r="Y8" i="9"/>
  <c r="AB7" i="9"/>
  <c r="AA7" i="9"/>
  <c r="Z7" i="9"/>
  <c r="Y7" i="9"/>
  <c r="X7" i="9"/>
  <c r="AB6" i="9"/>
  <c r="AA6" i="9"/>
  <c r="Z6" i="9"/>
  <c r="Y6" i="9"/>
  <c r="X6" i="9"/>
  <c r="AB5" i="9"/>
  <c r="AA5" i="9"/>
  <c r="Z5" i="9"/>
  <c r="X5" i="9"/>
  <c r="AB4" i="9"/>
  <c r="AC4" i="9" s="1"/>
  <c r="AA4" i="9"/>
  <c r="Z4" i="9"/>
  <c r="Y4" i="9"/>
  <c r="X4" i="9"/>
  <c r="AB3" i="9"/>
  <c r="AC3" i="9" s="1"/>
  <c r="AA3" i="9"/>
  <c r="Z3" i="9"/>
  <c r="Y3" i="9"/>
  <c r="X3" i="9"/>
  <c r="AB2" i="9"/>
  <c r="AC2" i="9" s="1"/>
  <c r="AA2" i="9"/>
  <c r="Z2" i="9"/>
  <c r="Y2" i="9"/>
  <c r="X2" i="9"/>
  <c r="AC2" i="12" l="1"/>
  <c r="AC3" i="12"/>
  <c r="AC8" i="12"/>
  <c r="AC7" i="12"/>
  <c r="AC6" i="12"/>
  <c r="AC5" i="12"/>
  <c r="AC4" i="12"/>
  <c r="AC7" i="9"/>
  <c r="AC6" i="9"/>
  <c r="AC7" i="11"/>
  <c r="AC6" i="11"/>
  <c r="AC5" i="11"/>
  <c r="AC5" i="9"/>
</calcChain>
</file>

<file path=xl/sharedStrings.xml><?xml version="1.0" encoding="utf-8"?>
<sst xmlns="http://schemas.openxmlformats.org/spreadsheetml/2006/main" count="450" uniqueCount="110">
  <si>
    <t>年龄</t>
  </si>
  <si>
    <t>3rd</t>
  </si>
  <si>
    <t>10th</t>
  </si>
  <si>
    <t>25th</t>
  </si>
  <si>
    <t>50th</t>
  </si>
  <si>
    <t>75th</t>
  </si>
  <si>
    <t>90th</t>
  </si>
  <si>
    <t>97th</t>
  </si>
  <si>
    <t>4 月</t>
  </si>
  <si>
    <t>6 月</t>
  </si>
  <si>
    <t>9 月</t>
  </si>
  <si>
    <t>12 月</t>
  </si>
  <si>
    <t>15 月</t>
  </si>
  <si>
    <t>18 月</t>
  </si>
  <si>
    <t>21 月</t>
  </si>
  <si>
    <t>5th</t>
  </si>
  <si>
    <t>15th</t>
  </si>
  <si>
    <t>85th</t>
  </si>
  <si>
    <t>95th</t>
  </si>
  <si>
    <t>姓名</t>
    <phoneticPr fontId="1" type="noConversion"/>
  </si>
  <si>
    <t>年龄标记X</t>
    <phoneticPr fontId="1" type="noConversion"/>
  </si>
  <si>
    <t>身高标记Y</t>
  </si>
  <si>
    <t>体重标记Y</t>
  </si>
  <si>
    <t>小明</t>
    <phoneticPr fontId="1" type="noConversion"/>
  </si>
  <si>
    <t>性别</t>
    <phoneticPr fontId="1" type="noConversion"/>
  </si>
  <si>
    <t>男</t>
    <phoneticPr fontId="1" type="noConversion"/>
  </si>
  <si>
    <t>测量身高
(cm)</t>
    <phoneticPr fontId="1" type="noConversion"/>
  </si>
  <si>
    <t>测量体重
(kg)</t>
    <phoneticPr fontId="1" type="noConversion"/>
  </si>
  <si>
    <t>年龄</t>
    <phoneticPr fontId="1" type="noConversion"/>
  </si>
  <si>
    <t>0月</t>
    <phoneticPr fontId="1" type="noConversion"/>
  </si>
  <si>
    <t>2.5岁</t>
    <phoneticPr fontId="1" type="noConversion"/>
  </si>
  <si>
    <t>3岁</t>
  </si>
  <si>
    <t>3岁</t>
    <phoneticPr fontId="1" type="noConversion"/>
  </si>
  <si>
    <t>2岁</t>
  </si>
  <si>
    <t>2岁</t>
    <phoneticPr fontId="1" type="noConversion"/>
  </si>
  <si>
    <t>21月</t>
    <phoneticPr fontId="1" type="noConversion"/>
  </si>
  <si>
    <t>18月</t>
  </si>
  <si>
    <t>18月</t>
    <phoneticPr fontId="1" type="noConversion"/>
  </si>
  <si>
    <t>15月</t>
    <phoneticPr fontId="1" type="noConversion"/>
  </si>
  <si>
    <t>12月</t>
  </si>
  <si>
    <t>12月</t>
    <phoneticPr fontId="1" type="noConversion"/>
  </si>
  <si>
    <t>9月</t>
    <phoneticPr fontId="1" type="noConversion"/>
  </si>
  <si>
    <t>6月</t>
  </si>
  <si>
    <t>4月</t>
    <phoneticPr fontId="1" type="noConversion"/>
  </si>
  <si>
    <t>2月</t>
    <phoneticPr fontId="1" type="noConversion"/>
  </si>
  <si>
    <t>年龄
映射</t>
    <phoneticPr fontId="1" type="noConversion"/>
  </si>
  <si>
    <t>男</t>
  </si>
  <si>
    <t>2.5岁</t>
  </si>
  <si>
    <t>2023.1.1</t>
    <phoneticPr fontId="1" type="noConversion"/>
  </si>
  <si>
    <t>2023.6.30</t>
    <phoneticPr fontId="1" type="noConversion"/>
  </si>
  <si>
    <t>2023.12.31</t>
    <phoneticPr fontId="1" type="noConversion"/>
  </si>
  <si>
    <t>2024.6.30</t>
    <phoneticPr fontId="1" type="noConversion"/>
  </si>
  <si>
    <t>2024.12.31</t>
    <phoneticPr fontId="1" type="noConversion"/>
  </si>
  <si>
    <t>2025.6.30</t>
    <phoneticPr fontId="1" type="noConversion"/>
  </si>
  <si>
    <t>检查时间</t>
    <phoneticPr fontId="1" type="noConversion"/>
  </si>
  <si>
    <t>登记号</t>
    <phoneticPr fontId="1" type="noConversion"/>
  </si>
  <si>
    <t>年龄(岁)</t>
    <phoneticPr fontId="1" type="noConversion"/>
  </si>
  <si>
    <r>
      <t>6.5</t>
    </r>
    <r>
      <rPr>
        <sz val="8"/>
        <color rgb="FF000000"/>
        <rFont val="宋体"/>
        <family val="3"/>
        <charset val="134"/>
      </rPr>
      <t>岁</t>
    </r>
    <phoneticPr fontId="1" type="noConversion"/>
  </si>
  <si>
    <t>3.5岁</t>
  </si>
  <si>
    <t>4岁</t>
  </si>
  <si>
    <t>4.5岁</t>
  </si>
  <si>
    <t>5岁</t>
  </si>
  <si>
    <t>5.5岁</t>
  </si>
  <si>
    <t>6岁</t>
  </si>
  <si>
    <t>7岁</t>
  </si>
  <si>
    <t>7.5岁</t>
  </si>
  <si>
    <t>8岁</t>
  </si>
  <si>
    <t>8.5岁</t>
  </si>
  <si>
    <t>9岁</t>
  </si>
  <si>
    <t>9.5岁</t>
  </si>
  <si>
    <t>10岁</t>
  </si>
  <si>
    <t>10.5岁</t>
  </si>
  <si>
    <t>11岁</t>
  </si>
  <si>
    <t>11.5岁</t>
  </si>
  <si>
    <t>12岁</t>
  </si>
  <si>
    <t>12.5岁</t>
  </si>
  <si>
    <t>13岁</t>
  </si>
  <si>
    <t>13.5岁</t>
  </si>
  <si>
    <t>14岁</t>
  </si>
  <si>
    <t>14.5岁</t>
  </si>
  <si>
    <t>15岁</t>
  </si>
  <si>
    <t>15.5岁</t>
  </si>
  <si>
    <t>16岁</t>
  </si>
  <si>
    <t>16.5岁</t>
  </si>
  <si>
    <t>17岁</t>
  </si>
  <si>
    <t>18岁</t>
  </si>
  <si>
    <t>操作提醒</t>
    <phoneticPr fontId="1" type="noConversion"/>
  </si>
  <si>
    <t xml:space="preserve">BMI数据动态筛选 </t>
    <phoneticPr fontId="1" type="noConversion"/>
  </si>
  <si>
    <t>BMI动态年龄辅助</t>
  </si>
  <si>
    <t>BMI
计算值</t>
    <phoneticPr fontId="1" type="noConversion"/>
  </si>
  <si>
    <r>
      <rPr>
        <b/>
        <sz val="8"/>
        <color rgb="FF000000"/>
        <rFont val="宋体"/>
        <family val="3"/>
        <charset val="134"/>
      </rPr>
      <t>年龄</t>
    </r>
    <r>
      <rPr>
        <b/>
        <sz val="8"/>
        <color rgb="FF000000"/>
        <rFont val="Segoe UI"/>
        <family val="2"/>
      </rPr>
      <t>(</t>
    </r>
    <r>
      <rPr>
        <b/>
        <sz val="8"/>
        <color rgb="FF000000"/>
        <rFont val="宋体"/>
        <family val="3"/>
        <charset val="134"/>
      </rPr>
      <t>岁</t>
    </r>
    <r>
      <rPr>
        <b/>
        <sz val="8"/>
        <color rgb="FF000000"/>
        <rFont val="Segoe UI"/>
        <family val="2"/>
      </rPr>
      <t>)</t>
    </r>
    <phoneticPr fontId="1" type="noConversion"/>
  </si>
  <si>
    <r>
      <t>2</t>
    </r>
    <r>
      <rPr>
        <sz val="8"/>
        <color rgb="FF000000"/>
        <rFont val="宋体"/>
        <family val="3"/>
        <charset val="134"/>
      </rPr>
      <t>月</t>
    </r>
    <phoneticPr fontId="1" type="noConversion"/>
  </si>
  <si>
    <t>4月</t>
  </si>
  <si>
    <t>9月</t>
  </si>
  <si>
    <t>15月</t>
  </si>
  <si>
    <t>21月</t>
  </si>
  <si>
    <t>6.5岁</t>
  </si>
  <si>
    <t>女</t>
  </si>
  <si>
    <t>小红</t>
    <phoneticPr fontId="1" type="noConversion"/>
  </si>
  <si>
    <t>2月</t>
    <phoneticPr fontId="1" type="noConversion"/>
  </si>
  <si>
    <t>2022.1.1</t>
    <phoneticPr fontId="1" type="noConversion"/>
  </si>
  <si>
    <t>2022.3.1</t>
    <phoneticPr fontId="1" type="noConversion"/>
  </si>
  <si>
    <t>2022.6.1</t>
    <phoneticPr fontId="1" type="noConversion"/>
  </si>
  <si>
    <t>2022.9.1</t>
    <phoneticPr fontId="1" type="noConversion"/>
  </si>
  <si>
    <t>2022.12.1</t>
    <phoneticPr fontId="1" type="noConversion"/>
  </si>
  <si>
    <t>2023.3.1</t>
    <phoneticPr fontId="1" type="noConversion"/>
  </si>
  <si>
    <t>2月</t>
  </si>
  <si>
    <t>小强</t>
    <phoneticPr fontId="1" type="noConversion"/>
  </si>
  <si>
    <t>1、需要在绿色表格列中输入/选择儿童体测数据；
2、年龄标记X列；BMI计算值列-计算公式套用不要用下拉方式，只能用复制方式；
4、BMI动态年龄辅助、BMI数据动态筛选：这两列仅显示年龄≥2 岁的相关数值，2 岁以下自动为空；</t>
    <phoneticPr fontId="1" type="noConversion"/>
  </si>
  <si>
    <t xml:space="preserve">1、需要在绿色表格列中输入/选择儿童体测数据；
2、年龄标记X列；BMI计算值列-计算公式套用不要用下拉方式，只能用复制方式；
4、BMI动态年龄辅助、BMI数据动态筛选：这两列仅显示年龄≥2 岁的相关数值，2 岁以下自动为空；
5、BMI百分位图为使数据落点和横坐标年龄匹配，需要在图表-选择数据中进行单独配置。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</si>
</sst>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;[Red]0.0"/>
    <numFmt numFmtId="177" formatCode="yyyy\-mm\-dd;@"/>
  </numFmts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Segoe UI"/>
      <family val="2"/>
    </font>
    <font>
      <sz val="9"/>
      <color rgb="FF000000"/>
      <name val="Segoe UI"/>
      <family val="2"/>
    </font>
    <font>
      <sz val="9"/>
      <color rgb="FF000000"/>
      <name val="微软雅黑"/>
      <family val="2"/>
      <charset val="134"/>
    </font>
    <font>
      <sz val="9"/>
      <color theme="1"/>
      <name val="等线"/>
      <family val="2"/>
      <scheme val="minor"/>
    </font>
    <font>
      <sz val="8"/>
      <color rgb="FF000000"/>
      <name val="宋体"/>
      <family val="3"/>
      <charset val="134"/>
    </font>
    <font>
      <b/>
      <sz val="8"/>
      <color rgb="FFFF0000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rgb="FF0F1115"/>
      <name val="宋体"/>
      <family val="3"/>
      <charset val="134"/>
    </font>
    <font>
      <b/>
      <sz val="9"/>
      <color rgb="FFFF0000"/>
      <name val="等线"/>
      <family val="3"/>
      <charset val="134"/>
      <scheme val="minor"/>
    </font>
    <font>
      <b/>
      <sz val="9"/>
      <color rgb="FFFF0000"/>
      <name val="宋体"/>
      <family val="3"/>
      <charset val="134"/>
    </font>
    <font>
      <b/>
      <sz val="8"/>
      <color rgb="FF000000"/>
      <name val="Segoe UI"/>
      <family val="2"/>
    </font>
    <font>
      <sz val="8"/>
      <color theme="1"/>
      <name val="等线"/>
      <family val="2"/>
      <scheme val="minor"/>
    </font>
    <font>
      <b/>
      <sz val="8"/>
      <color rgb="FF000000"/>
      <name val="宋体"/>
      <family val="3"/>
      <charset val="134"/>
    </font>
    <font>
      <b/>
      <sz val="8"/>
      <color rgb="FF000000"/>
      <name val="Segoe UI"/>
      <family val="3"/>
      <charset val="134"/>
    </font>
    <font>
      <sz val="8"/>
      <color rgb="FFFF0000"/>
      <name val="宋体"/>
      <family val="3"/>
      <charset val="134"/>
    </font>
    <font>
      <sz val="9"/>
      <color theme="1"/>
      <name val="等线"/>
      <family val="3"/>
      <charset val="134"/>
      <scheme val="minor"/>
    </font>
    <font>
      <sz val="10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 indent="1"/>
    </xf>
    <xf numFmtId="0" fontId="8" fillId="5" borderId="6" xfId="0" applyFont="1" applyFill="1" applyBorder="1" applyAlignment="1">
      <alignment horizontal="center" vertical="center"/>
    </xf>
    <xf numFmtId="14" fontId="8" fillId="5" borderId="6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176" fontId="8" fillId="0" borderId="6" xfId="0" applyNumberFormat="1" applyFont="1" applyBorder="1" applyAlignment="1">
      <alignment horizontal="center"/>
    </xf>
    <xf numFmtId="177" fontId="5" fillId="0" borderId="6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9" fillId="6" borderId="6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0" borderId="0" xfId="0" applyFont="1"/>
    <xf numFmtId="0" fontId="2" fillId="2" borderId="1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 indent="1"/>
    </xf>
    <xf numFmtId="0" fontId="15" fillId="7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1"/>
    </xf>
    <xf numFmtId="0" fontId="2" fillId="8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14" fontId="8" fillId="5" borderId="7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0" fillId="0" borderId="6" xfId="0" applyBorder="1"/>
    <xf numFmtId="0" fontId="18" fillId="2" borderId="0" xfId="0" applyFont="1" applyFill="1" applyAlignment="1">
      <alignment horizontal="left" vertical="center" wrapText="1" inden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1" u="none">
                <a:solidFill>
                  <a:sysClr val="windowText" lastClr="000000"/>
                </a:solidFill>
              </a:rPr>
              <a:t>中国</a:t>
            </a:r>
            <a:r>
              <a:rPr lang="en-US" altLang="zh-CN" sz="1200" b="1" u="none">
                <a:solidFill>
                  <a:sysClr val="windowText" lastClr="000000"/>
                </a:solidFill>
              </a:rPr>
              <a:t>0-3</a:t>
            </a:r>
            <a:r>
              <a:rPr lang="zh-CN" altLang="en-US" sz="1200" b="1" u="none">
                <a:solidFill>
                  <a:sysClr val="windowText" lastClr="000000"/>
                </a:solidFill>
              </a:rPr>
              <a:t>岁儿童（男）身长、体重百分位曲线图</a:t>
            </a:r>
            <a:endParaRPr lang="en-US" altLang="zh-CN" sz="1200" b="1" u="none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900677896663355"/>
          <c:y val="7.0071587495320331E-2"/>
          <c:w val="0.85902860337206222"/>
          <c:h val="0.8586583736368090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'0-3岁儿童（男）身高、体重、BMI'!$C$1</c:f>
              <c:strCache>
                <c:ptCount val="1"/>
                <c:pt idx="0">
                  <c:v>3rd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'0-3岁儿童（男）身高、体重、BMI'!$C$2:$C$13</c:f>
              <c:numCache>
                <c:formatCode>General</c:formatCode>
                <c:ptCount val="12"/>
                <c:pt idx="0">
                  <c:v>47.1</c:v>
                </c:pt>
                <c:pt idx="1">
                  <c:v>54.6</c:v>
                </c:pt>
                <c:pt idx="2">
                  <c:v>60.3</c:v>
                </c:pt>
                <c:pt idx="3">
                  <c:v>64</c:v>
                </c:pt>
                <c:pt idx="4">
                  <c:v>67.900000000000006</c:v>
                </c:pt>
                <c:pt idx="5">
                  <c:v>71.5</c:v>
                </c:pt>
                <c:pt idx="6">
                  <c:v>74.400000000000006</c:v>
                </c:pt>
                <c:pt idx="7">
                  <c:v>76.900000000000006</c:v>
                </c:pt>
                <c:pt idx="8">
                  <c:v>79.5</c:v>
                </c:pt>
                <c:pt idx="9">
                  <c:v>82.1</c:v>
                </c:pt>
                <c:pt idx="10">
                  <c:v>86.4</c:v>
                </c:pt>
                <c:pt idx="11">
                  <c:v>89.7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DE-4F9E-8317-EB6771F29D5D}"/>
            </c:ext>
          </c:extLst>
        </c:ser>
        <c:ser>
          <c:idx val="1"/>
          <c:order val="1"/>
          <c:tx>
            <c:strRef>
              <c:f>'0-3岁儿童（男）身高、体重、BMI'!$D$1</c:f>
              <c:strCache>
                <c:ptCount val="1"/>
                <c:pt idx="0">
                  <c:v>10th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'0-3岁儿童（男）身高、体重、BMI'!$D$2:$D$13</c:f>
              <c:numCache>
                <c:formatCode>General</c:formatCode>
                <c:ptCount val="12"/>
                <c:pt idx="0">
                  <c:v>48.1</c:v>
                </c:pt>
                <c:pt idx="1">
                  <c:v>55.9</c:v>
                </c:pt>
                <c:pt idx="2">
                  <c:v>61.7</c:v>
                </c:pt>
                <c:pt idx="3">
                  <c:v>65.400000000000006</c:v>
                </c:pt>
                <c:pt idx="4">
                  <c:v>69.400000000000006</c:v>
                </c:pt>
                <c:pt idx="5">
                  <c:v>73.099999999999994</c:v>
                </c:pt>
                <c:pt idx="6">
                  <c:v>76.099999999999994</c:v>
                </c:pt>
                <c:pt idx="7">
                  <c:v>78.7</c:v>
                </c:pt>
                <c:pt idx="8">
                  <c:v>81.400000000000006</c:v>
                </c:pt>
                <c:pt idx="9">
                  <c:v>84.1</c:v>
                </c:pt>
                <c:pt idx="10">
                  <c:v>88.6</c:v>
                </c:pt>
                <c:pt idx="11">
                  <c:v>91.9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DE-4F9E-8317-EB6771F29D5D}"/>
            </c:ext>
          </c:extLst>
        </c:ser>
        <c:ser>
          <c:idx val="2"/>
          <c:order val="2"/>
          <c:tx>
            <c:strRef>
              <c:f>'0-3岁儿童（男）身高、体重、BMI'!$E$1</c:f>
              <c:strCache>
                <c:ptCount val="1"/>
                <c:pt idx="0">
                  <c:v>25th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'0-3岁儿童（男）身高、体重、BMI'!$E$2:$E$13</c:f>
              <c:numCache>
                <c:formatCode>General</c:formatCode>
                <c:ptCount val="12"/>
                <c:pt idx="0">
                  <c:v>49.2</c:v>
                </c:pt>
                <c:pt idx="1">
                  <c:v>57.2</c:v>
                </c:pt>
                <c:pt idx="2">
                  <c:v>63</c:v>
                </c:pt>
                <c:pt idx="3">
                  <c:v>66.8</c:v>
                </c:pt>
                <c:pt idx="4">
                  <c:v>70.900000000000006</c:v>
                </c:pt>
                <c:pt idx="5">
                  <c:v>74.7</c:v>
                </c:pt>
                <c:pt idx="6">
                  <c:v>77.8</c:v>
                </c:pt>
                <c:pt idx="7">
                  <c:v>80.599999999999994</c:v>
                </c:pt>
                <c:pt idx="8">
                  <c:v>83.4</c:v>
                </c:pt>
                <c:pt idx="9">
                  <c:v>86.2</c:v>
                </c:pt>
                <c:pt idx="10">
                  <c:v>90.8</c:v>
                </c:pt>
                <c:pt idx="11">
                  <c:v>94.2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DE-4F9E-8317-EB6771F29D5D}"/>
            </c:ext>
          </c:extLst>
        </c:ser>
        <c:ser>
          <c:idx val="3"/>
          <c:order val="3"/>
          <c:tx>
            <c:strRef>
              <c:f>'0-3岁儿童（男）身高、体重、BMI'!$F$1</c:f>
              <c:strCache>
                <c:ptCount val="1"/>
                <c:pt idx="0">
                  <c:v>50th</c:v>
                </c:pt>
              </c:strCache>
            </c:strRef>
          </c:tx>
          <c:spPr>
            <a:ln w="1270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'0-3岁儿童（男）身高、体重、BMI'!$F$2:$F$13</c:f>
              <c:numCache>
                <c:formatCode>General</c:formatCode>
                <c:ptCount val="12"/>
                <c:pt idx="0">
                  <c:v>50.4</c:v>
                </c:pt>
                <c:pt idx="1">
                  <c:v>58.7</c:v>
                </c:pt>
                <c:pt idx="2">
                  <c:v>64.599999999999994</c:v>
                </c:pt>
                <c:pt idx="3">
                  <c:v>68.400000000000006</c:v>
                </c:pt>
                <c:pt idx="4">
                  <c:v>72.599999999999994</c:v>
                </c:pt>
                <c:pt idx="5">
                  <c:v>76.5</c:v>
                </c:pt>
                <c:pt idx="6">
                  <c:v>79.8</c:v>
                </c:pt>
                <c:pt idx="7">
                  <c:v>82.7</c:v>
                </c:pt>
                <c:pt idx="8">
                  <c:v>85.6</c:v>
                </c:pt>
                <c:pt idx="9">
                  <c:v>88.5</c:v>
                </c:pt>
                <c:pt idx="10">
                  <c:v>93.3</c:v>
                </c:pt>
                <c:pt idx="11">
                  <c:v>96.8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DE-4F9E-8317-EB6771F29D5D}"/>
            </c:ext>
          </c:extLst>
        </c:ser>
        <c:ser>
          <c:idx val="4"/>
          <c:order val="4"/>
          <c:tx>
            <c:strRef>
              <c:f>'0-3岁儿童（男）身高、体重、BMI'!$G$1</c:f>
              <c:strCache>
                <c:ptCount val="1"/>
                <c:pt idx="0">
                  <c:v>75th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'0-3岁儿童（男）身高、体重、BMI'!$G$2:$G$13</c:f>
              <c:numCache>
                <c:formatCode>General</c:formatCode>
                <c:ptCount val="12"/>
                <c:pt idx="0">
                  <c:v>51.6</c:v>
                </c:pt>
                <c:pt idx="1">
                  <c:v>60.3</c:v>
                </c:pt>
                <c:pt idx="2">
                  <c:v>66.2</c:v>
                </c:pt>
                <c:pt idx="3">
                  <c:v>70</c:v>
                </c:pt>
                <c:pt idx="4">
                  <c:v>74.400000000000006</c:v>
                </c:pt>
                <c:pt idx="5">
                  <c:v>78.400000000000006</c:v>
                </c:pt>
                <c:pt idx="6">
                  <c:v>81.8</c:v>
                </c:pt>
                <c:pt idx="7">
                  <c:v>84.8</c:v>
                </c:pt>
                <c:pt idx="8">
                  <c:v>87.9</c:v>
                </c:pt>
                <c:pt idx="9">
                  <c:v>90.9</c:v>
                </c:pt>
                <c:pt idx="10">
                  <c:v>95.9</c:v>
                </c:pt>
                <c:pt idx="11">
                  <c:v>99.4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DE-4F9E-8317-EB6771F29D5D}"/>
            </c:ext>
          </c:extLst>
        </c:ser>
        <c:ser>
          <c:idx val="5"/>
          <c:order val="5"/>
          <c:tx>
            <c:strRef>
              <c:f>'0-3岁儿童（男）身高、体重、BMI'!$H$1</c:f>
              <c:strCache>
                <c:ptCount val="1"/>
                <c:pt idx="0">
                  <c:v>90th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'0-3岁儿童（男）身高、体重、BMI'!$H$2:$H$13</c:f>
              <c:numCache>
                <c:formatCode>General</c:formatCode>
                <c:ptCount val="12"/>
                <c:pt idx="0">
                  <c:v>52.7</c:v>
                </c:pt>
                <c:pt idx="1">
                  <c:v>61.7</c:v>
                </c:pt>
                <c:pt idx="2">
                  <c:v>67.599999999999994</c:v>
                </c:pt>
                <c:pt idx="3">
                  <c:v>71.5</c:v>
                </c:pt>
                <c:pt idx="4">
                  <c:v>75.900000000000006</c:v>
                </c:pt>
                <c:pt idx="5">
                  <c:v>80.099999999999994</c:v>
                </c:pt>
                <c:pt idx="6">
                  <c:v>83.6</c:v>
                </c:pt>
                <c:pt idx="7">
                  <c:v>86.7</c:v>
                </c:pt>
                <c:pt idx="8">
                  <c:v>90</c:v>
                </c:pt>
                <c:pt idx="9">
                  <c:v>93.1</c:v>
                </c:pt>
                <c:pt idx="10">
                  <c:v>98.2</c:v>
                </c:pt>
                <c:pt idx="11">
                  <c:v>101.8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DE-4F9E-8317-EB6771F29D5D}"/>
            </c:ext>
          </c:extLst>
        </c:ser>
        <c:ser>
          <c:idx val="6"/>
          <c:order val="6"/>
          <c:tx>
            <c:strRef>
              <c:f>'0-3岁儿童（男）身高、体重、BMI'!$I$1</c:f>
              <c:strCache>
                <c:ptCount val="1"/>
                <c:pt idx="0">
                  <c:v>97th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'0-3岁儿童（男）身高、体重、BMI'!$I$2:$I$13</c:f>
              <c:numCache>
                <c:formatCode>General</c:formatCode>
                <c:ptCount val="12"/>
                <c:pt idx="0">
                  <c:v>53.8</c:v>
                </c:pt>
                <c:pt idx="1">
                  <c:v>63</c:v>
                </c:pt>
                <c:pt idx="2">
                  <c:v>69</c:v>
                </c:pt>
                <c:pt idx="3">
                  <c:v>73</c:v>
                </c:pt>
                <c:pt idx="4">
                  <c:v>77.5</c:v>
                </c:pt>
                <c:pt idx="5">
                  <c:v>81.8</c:v>
                </c:pt>
                <c:pt idx="6">
                  <c:v>85.4</c:v>
                </c:pt>
                <c:pt idx="7">
                  <c:v>88.7</c:v>
                </c:pt>
                <c:pt idx="8">
                  <c:v>92</c:v>
                </c:pt>
                <c:pt idx="9">
                  <c:v>95.3</c:v>
                </c:pt>
                <c:pt idx="10">
                  <c:v>100.5</c:v>
                </c:pt>
                <c:pt idx="11">
                  <c:v>104.1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DE-4F9E-8317-EB6771F29D5D}"/>
            </c:ext>
          </c:extLst>
        </c:ser>
        <c:ser>
          <c:idx val="14"/>
          <c:order val="14"/>
          <c:tx>
            <c:v>测量身高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0453074433656956E-2"/>
                  <c:y val="3.5294117647058823E-2"/>
                </c:manualLayout>
              </c:layout>
              <c:tx>
                <c:rich>
                  <a:bodyPr/>
                  <a:lstStyle/>
                  <a:p>
                    <a:fld id="{C1BB3A10-3C2D-4B58-863E-29DFEB7ECD1C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51C95AA1-C934-4499-AE02-7B9E21F147AE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DE139EC8-038D-4A0E-A8D1-3C9086BCDD75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7-35DE-4F9E-8317-EB6771F29D5D}"/>
                </c:ext>
              </c:extLst>
            </c:dLbl>
            <c:dLbl>
              <c:idx val="1"/>
              <c:layout>
                <c:manualLayout>
                  <c:x val="-6.819232547387892E-2"/>
                  <c:y val="-7.2549019607843171E-2"/>
                </c:manualLayout>
              </c:layout>
              <c:tx>
                <c:rich>
                  <a:bodyPr/>
                  <a:lstStyle/>
                  <a:p>
                    <a:fld id="{C2C93979-9252-4CE4-A699-089CFC0D2980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C0B573C6-6244-4CE7-BE40-83F83A6A7F08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A401EC23-22CA-46A8-833D-75895E7E1656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6-35DE-4F9E-8317-EB6771F29D5D}"/>
                </c:ext>
              </c:extLst>
            </c:dLbl>
            <c:dLbl>
              <c:idx val="2"/>
              <c:layout>
                <c:manualLayout>
                  <c:x val="-1.2713823393435044E-2"/>
                  <c:y val="8.4313725490196084E-2"/>
                </c:manualLayout>
              </c:layout>
              <c:tx>
                <c:rich>
                  <a:bodyPr/>
                  <a:lstStyle/>
                  <a:p>
                    <a:fld id="{7ACCEAFD-B196-4548-BBC5-B4498240946A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B76E0C05-6332-4EFF-926F-7229D74F8C66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5337E825-92CF-4DA6-9ED4-492793633516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35DE-4F9E-8317-EB6771F29D5D}"/>
                </c:ext>
              </c:extLst>
            </c:dLbl>
            <c:dLbl>
              <c:idx val="3"/>
              <c:layout>
                <c:manualLayout>
                  <c:x val="-1.0402219140083303E-2"/>
                  <c:y val="0.12156862745098039"/>
                </c:manualLayout>
              </c:layout>
              <c:tx>
                <c:rich>
                  <a:bodyPr/>
                  <a:lstStyle/>
                  <a:p>
                    <a:fld id="{0C517945-535F-48B3-9A1A-309D0ECE64B5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E34026B7-29E1-4FAE-B41C-C47CD590A786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B2D87687-F4D8-4C24-BCFB-8894645C8D4E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35DE-4F9E-8317-EB6771F29D5D}"/>
                </c:ext>
              </c:extLst>
            </c:dLbl>
            <c:dLbl>
              <c:idx val="4"/>
              <c:layout>
                <c:manualLayout>
                  <c:x val="-7.9750346740638009E-2"/>
                  <c:y val="-6.8627450980392177E-2"/>
                </c:manualLayout>
              </c:layout>
              <c:tx>
                <c:rich>
                  <a:bodyPr/>
                  <a:lstStyle/>
                  <a:p>
                    <a:fld id="{729F4C65-A831-458D-8770-CD74B551B5BD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6AAFC0CB-CF6E-4898-97E2-F26A09BB849F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BBFEF6B5-ED3E-4DAB-A602-6EDF98B377C0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9-35DE-4F9E-8317-EB6771F29D5D}"/>
                </c:ext>
              </c:extLst>
            </c:dLbl>
            <c:dLbl>
              <c:idx val="5"/>
              <c:layout>
                <c:manualLayout>
                  <c:x val="-3.8142824632470075E-2"/>
                  <c:y val="-7.4285418613357523E-2"/>
                </c:manualLayout>
              </c:layout>
              <c:tx>
                <c:rich>
                  <a:bodyPr/>
                  <a:lstStyle/>
                  <a:p>
                    <a:fld id="{A096B681-D6BF-480A-8ADA-7EC4E5C016B3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9C3098FA-32EF-4BFF-8747-D0CE33B3DF28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3C12FDA2-A5C7-4ABE-A283-649A0D7366B1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35DE-4F9E-8317-EB6771F29D5D}"/>
                </c:ext>
              </c:extLst>
            </c:dLbl>
            <c:dLbl>
              <c:idx val="6"/>
              <c:layout>
                <c:manualLayout>
                  <c:x val="-3.9306358381503058E-2"/>
                  <c:y val="-4.8318515655199082E-2"/>
                </c:manualLayout>
              </c:layout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7B-35DE-4F9E-8317-EB6771F29D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35DE-4F9E-8317-EB6771F29D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35DE-4F9E-8317-EB6771F29D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35DE-4F9E-8317-EB6771F29D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35DE-4F9E-8317-EB6771F29D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35DE-4F9E-8317-EB6771F29D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round/>
                      <a:headEnd type="diamond" w="sm" len="sm"/>
                      <a:tailEnd w="sm" len="sm"/>
                    </a:ln>
                    <a:effectLst/>
                  </c:spPr>
                </c15:leaderLines>
              </c:ext>
            </c:extLst>
          </c:dLbls>
          <c:xVal>
            <c:numRef>
              <c:f>'0-3岁儿童（男）身高、体重、BMI'!$X$2:$X$13</c:f>
              <c:numCache>
                <c:formatCode>General</c:formatCode>
                <c:ptCount val="12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xVal>
          <c:yVal>
            <c:numRef>
              <c:f>'0-3岁儿童（男）身高、体重、BMI'!$Y$2:$Y$13</c:f>
              <c:numCache>
                <c:formatCode>General</c:formatCode>
                <c:ptCount val="12"/>
                <c:pt idx="0">
                  <c:v>66</c:v>
                </c:pt>
                <c:pt idx="1">
                  <c:v>78</c:v>
                </c:pt>
                <c:pt idx="2">
                  <c:v>82</c:v>
                </c:pt>
                <c:pt idx="3">
                  <c:v>92</c:v>
                </c:pt>
                <c:pt idx="4">
                  <c:v>94</c:v>
                </c:pt>
                <c:pt idx="5">
                  <c:v>98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'0-3岁儿童（男）身高、体重、BMI'!$T$2:$T$13</c15:f>
                <c15:dlblRangeCache>
                  <c:ptCount val="12"/>
                  <c:pt idx="0">
                    <c:v>6月</c:v>
                  </c:pt>
                  <c:pt idx="1">
                    <c:v>12月</c:v>
                  </c:pt>
                  <c:pt idx="2">
                    <c:v>18月</c:v>
                  </c:pt>
                  <c:pt idx="3">
                    <c:v>2岁</c:v>
                  </c:pt>
                  <c:pt idx="4">
                    <c:v>2.5岁</c:v>
                  </c:pt>
                  <c:pt idx="5">
                    <c:v>3岁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4-35DE-4F9E-8317-EB6771F2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842944"/>
        <c:axId val="1236836464"/>
      </c:scatterChart>
      <c:scatterChart>
        <c:scatterStyle val="smoothMarker"/>
        <c:varyColors val="0"/>
        <c:ser>
          <c:idx val="7"/>
          <c:order val="7"/>
          <c:tx>
            <c:strRef>
              <c:f>'0-3岁儿童（男）身高、体重、BMI'!$J$1</c:f>
              <c:strCache>
                <c:ptCount val="1"/>
                <c:pt idx="0">
                  <c:v>3rd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'0-3岁儿童（男）身高、体重、BMI'!$J$2:$J$13</c:f>
              <c:numCache>
                <c:formatCode>General</c:formatCode>
                <c:ptCount val="12"/>
                <c:pt idx="0">
                  <c:v>2.62</c:v>
                </c:pt>
                <c:pt idx="1">
                  <c:v>4.53</c:v>
                </c:pt>
                <c:pt idx="2">
                  <c:v>5.99</c:v>
                </c:pt>
                <c:pt idx="3">
                  <c:v>6.8</c:v>
                </c:pt>
                <c:pt idx="4">
                  <c:v>7.56</c:v>
                </c:pt>
                <c:pt idx="5">
                  <c:v>8.16</c:v>
                </c:pt>
                <c:pt idx="6">
                  <c:v>8.68</c:v>
                </c:pt>
                <c:pt idx="7">
                  <c:v>9.19</c:v>
                </c:pt>
                <c:pt idx="8">
                  <c:v>9.7100000000000009</c:v>
                </c:pt>
                <c:pt idx="9">
                  <c:v>10.220000000000001</c:v>
                </c:pt>
                <c:pt idx="10">
                  <c:v>11.11</c:v>
                </c:pt>
                <c:pt idx="11">
                  <c:v>11.94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DE-4F9E-8317-EB6771F29D5D}"/>
            </c:ext>
          </c:extLst>
        </c:ser>
        <c:ser>
          <c:idx val="8"/>
          <c:order val="8"/>
          <c:tx>
            <c:strRef>
              <c:f>'0-3岁儿童（男）身高、体重、BMI'!$K$1</c:f>
              <c:strCache>
                <c:ptCount val="1"/>
                <c:pt idx="0">
                  <c:v>10th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'0-3岁儿童（男）身高、体重、BMI'!$K$2:$K$13</c:f>
              <c:numCache>
                <c:formatCode>General</c:formatCode>
                <c:ptCount val="12"/>
                <c:pt idx="0">
                  <c:v>2.83</c:v>
                </c:pt>
                <c:pt idx="1">
                  <c:v>4.88</c:v>
                </c:pt>
                <c:pt idx="2">
                  <c:v>6.43</c:v>
                </c:pt>
                <c:pt idx="3">
                  <c:v>7.28</c:v>
                </c:pt>
                <c:pt idx="4">
                  <c:v>8.09</c:v>
                </c:pt>
                <c:pt idx="5">
                  <c:v>8.7200000000000006</c:v>
                </c:pt>
                <c:pt idx="6">
                  <c:v>9.27</c:v>
                </c:pt>
                <c:pt idx="7">
                  <c:v>9.81</c:v>
                </c:pt>
                <c:pt idx="8">
                  <c:v>10.37</c:v>
                </c:pt>
                <c:pt idx="9">
                  <c:v>10.9</c:v>
                </c:pt>
                <c:pt idx="10">
                  <c:v>11.85</c:v>
                </c:pt>
                <c:pt idx="11">
                  <c:v>12.74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DE-4F9E-8317-EB6771F29D5D}"/>
            </c:ext>
          </c:extLst>
        </c:ser>
        <c:ser>
          <c:idx val="9"/>
          <c:order val="9"/>
          <c:tx>
            <c:strRef>
              <c:f>'0-3岁儿童（男）身高、体重、BMI'!$L$1</c:f>
              <c:strCache>
                <c:ptCount val="1"/>
                <c:pt idx="0">
                  <c:v>25th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'0-3岁儿童（男）身高、体重、BMI'!$L$2:$L$13</c:f>
              <c:numCache>
                <c:formatCode>General</c:formatCode>
                <c:ptCount val="12"/>
                <c:pt idx="0">
                  <c:v>3.06</c:v>
                </c:pt>
                <c:pt idx="1">
                  <c:v>5.25</c:v>
                </c:pt>
                <c:pt idx="2">
                  <c:v>6.9</c:v>
                </c:pt>
                <c:pt idx="3">
                  <c:v>7.8</c:v>
                </c:pt>
                <c:pt idx="4">
                  <c:v>8.66</c:v>
                </c:pt>
                <c:pt idx="5">
                  <c:v>9.33</c:v>
                </c:pt>
                <c:pt idx="6">
                  <c:v>9.91</c:v>
                </c:pt>
                <c:pt idx="7">
                  <c:v>10.48</c:v>
                </c:pt>
                <c:pt idx="8">
                  <c:v>11.08</c:v>
                </c:pt>
                <c:pt idx="9">
                  <c:v>11.65</c:v>
                </c:pt>
                <c:pt idx="10">
                  <c:v>12.66</c:v>
                </c:pt>
                <c:pt idx="11">
                  <c:v>13.61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DE-4F9E-8317-EB6771F29D5D}"/>
            </c:ext>
          </c:extLst>
        </c:ser>
        <c:ser>
          <c:idx val="10"/>
          <c:order val="10"/>
          <c:tx>
            <c:strRef>
              <c:f>'0-3岁儿童（男）身高、体重、BMI'!$M$1</c:f>
              <c:strCache>
                <c:ptCount val="1"/>
                <c:pt idx="0">
                  <c:v>50th</c:v>
                </c:pt>
              </c:strCache>
            </c:strRef>
          </c:tx>
          <c:spPr>
            <a:ln w="1270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'0-3岁儿童（男）身高、体重、BMI'!$M$2:$M$13</c:f>
              <c:numCache>
                <c:formatCode>General</c:formatCode>
                <c:ptCount val="12"/>
                <c:pt idx="0">
                  <c:v>3.32</c:v>
                </c:pt>
                <c:pt idx="1">
                  <c:v>5.68</c:v>
                </c:pt>
                <c:pt idx="2">
                  <c:v>7.45</c:v>
                </c:pt>
                <c:pt idx="3">
                  <c:v>8.41</c:v>
                </c:pt>
                <c:pt idx="4">
                  <c:v>9.33</c:v>
                </c:pt>
                <c:pt idx="5">
                  <c:v>10.050000000000001</c:v>
                </c:pt>
                <c:pt idx="6">
                  <c:v>10.68</c:v>
                </c:pt>
                <c:pt idx="7">
                  <c:v>11.29</c:v>
                </c:pt>
                <c:pt idx="8">
                  <c:v>11.93</c:v>
                </c:pt>
                <c:pt idx="9">
                  <c:v>12.54</c:v>
                </c:pt>
                <c:pt idx="10">
                  <c:v>13.64</c:v>
                </c:pt>
                <c:pt idx="11">
                  <c:v>14.65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DE-4F9E-8317-EB6771F29D5D}"/>
            </c:ext>
          </c:extLst>
        </c:ser>
        <c:ser>
          <c:idx val="11"/>
          <c:order val="11"/>
          <c:tx>
            <c:strRef>
              <c:f>'0-3岁儿童（男）身高、体重、BMI'!$N$1</c:f>
              <c:strCache>
                <c:ptCount val="1"/>
                <c:pt idx="0">
                  <c:v>75th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'0-3岁儿童（男）身高、体重、BMI'!$N$2:$N$13</c:f>
              <c:numCache>
                <c:formatCode>General</c:formatCode>
                <c:ptCount val="12"/>
                <c:pt idx="0">
                  <c:v>3.59</c:v>
                </c:pt>
                <c:pt idx="1">
                  <c:v>6.15</c:v>
                </c:pt>
                <c:pt idx="2">
                  <c:v>8.0399999999999991</c:v>
                </c:pt>
                <c:pt idx="3">
                  <c:v>9.07</c:v>
                </c:pt>
                <c:pt idx="4">
                  <c:v>10.06</c:v>
                </c:pt>
                <c:pt idx="5">
                  <c:v>10.83</c:v>
                </c:pt>
                <c:pt idx="6">
                  <c:v>11.51</c:v>
                </c:pt>
                <c:pt idx="7">
                  <c:v>12.16</c:v>
                </c:pt>
                <c:pt idx="8">
                  <c:v>12.86</c:v>
                </c:pt>
                <c:pt idx="9">
                  <c:v>13.51</c:v>
                </c:pt>
                <c:pt idx="10">
                  <c:v>14.7</c:v>
                </c:pt>
                <c:pt idx="11">
                  <c:v>15.8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5DE-4F9E-8317-EB6771F29D5D}"/>
            </c:ext>
          </c:extLst>
        </c:ser>
        <c:ser>
          <c:idx val="12"/>
          <c:order val="12"/>
          <c:tx>
            <c:strRef>
              <c:f>'0-3岁儿童（男）身高、体重、BMI'!$O$1</c:f>
              <c:strCache>
                <c:ptCount val="1"/>
                <c:pt idx="0">
                  <c:v>90th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'0-3岁儿童（男）身高、体重、BMI'!$O$2:$O$13</c:f>
              <c:numCache>
                <c:formatCode>General</c:formatCode>
                <c:ptCount val="12"/>
                <c:pt idx="0">
                  <c:v>3.85</c:v>
                </c:pt>
                <c:pt idx="1">
                  <c:v>6.59</c:v>
                </c:pt>
                <c:pt idx="2">
                  <c:v>8.61</c:v>
                </c:pt>
                <c:pt idx="3">
                  <c:v>9.6999999999999993</c:v>
                </c:pt>
                <c:pt idx="4">
                  <c:v>10.75</c:v>
                </c:pt>
                <c:pt idx="5">
                  <c:v>11.58</c:v>
                </c:pt>
                <c:pt idx="6">
                  <c:v>12.3</c:v>
                </c:pt>
                <c:pt idx="7">
                  <c:v>13.01</c:v>
                </c:pt>
                <c:pt idx="8">
                  <c:v>13.75</c:v>
                </c:pt>
                <c:pt idx="9">
                  <c:v>14.46</c:v>
                </c:pt>
                <c:pt idx="10">
                  <c:v>15.73</c:v>
                </c:pt>
                <c:pt idx="11">
                  <c:v>16.920000000000002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5DE-4F9E-8317-EB6771F29D5D}"/>
            </c:ext>
          </c:extLst>
        </c:ser>
        <c:ser>
          <c:idx val="13"/>
          <c:order val="13"/>
          <c:tx>
            <c:strRef>
              <c:f>'0-3岁儿童（男）身高、体重、BMI'!$P$1</c:f>
              <c:strCache>
                <c:ptCount val="1"/>
                <c:pt idx="0">
                  <c:v>97th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'0-3岁儿童（男）身高、体重、BMI'!$P$2:$P$13</c:f>
              <c:numCache>
                <c:formatCode>General</c:formatCode>
                <c:ptCount val="12"/>
                <c:pt idx="0">
                  <c:v>4.12</c:v>
                </c:pt>
                <c:pt idx="1">
                  <c:v>7.05</c:v>
                </c:pt>
                <c:pt idx="2">
                  <c:v>9.1999999999999993</c:v>
                </c:pt>
                <c:pt idx="3">
                  <c:v>10.37</c:v>
                </c:pt>
                <c:pt idx="4">
                  <c:v>11.49</c:v>
                </c:pt>
                <c:pt idx="5">
                  <c:v>12.37</c:v>
                </c:pt>
                <c:pt idx="6">
                  <c:v>13.15</c:v>
                </c:pt>
                <c:pt idx="7">
                  <c:v>13.9</c:v>
                </c:pt>
                <c:pt idx="8">
                  <c:v>14.7</c:v>
                </c:pt>
                <c:pt idx="9">
                  <c:v>15.46</c:v>
                </c:pt>
                <c:pt idx="10">
                  <c:v>16.829999999999998</c:v>
                </c:pt>
                <c:pt idx="11">
                  <c:v>18.12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5DE-4F9E-8317-EB6771F29D5D}"/>
            </c:ext>
          </c:extLst>
        </c:ser>
        <c:ser>
          <c:idx val="15"/>
          <c:order val="15"/>
          <c:tx>
            <c:v>测量体重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3116042533518262E-3"/>
                  <c:y val="6.6666666666666666E-2"/>
                </c:manualLayout>
              </c:layout>
              <c:tx>
                <c:rich>
                  <a:bodyPr/>
                  <a:lstStyle/>
                  <a:p>
                    <a:fld id="{4E92EA56-74F1-4F39-9E26-35B5EDB421F9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ACDD151E-FC12-49EC-81A0-F4C26DDFBC2A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87B2ADE1-3704-48F4-AD9E-2FCA018190DD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35DE-4F9E-8317-EB6771F29D5D}"/>
                </c:ext>
              </c:extLst>
            </c:dLbl>
            <c:dLbl>
              <c:idx val="1"/>
              <c:layout>
                <c:manualLayout>
                  <c:x val="-2.3116042533519107E-3"/>
                  <c:y val="8.4313725490196084E-2"/>
                </c:manualLayout>
              </c:layout>
              <c:tx>
                <c:rich>
                  <a:bodyPr/>
                  <a:lstStyle/>
                  <a:p>
                    <a:fld id="{DE21533F-BE62-4CAC-A447-E22C2017A01A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234B2200-F073-4D11-9D13-E25A6FDBC7E0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9CA85C98-F5E1-4D13-8A7E-2D7DD1DCA1F1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3-35DE-4F9E-8317-EB6771F29D5D}"/>
                </c:ext>
              </c:extLst>
            </c:dLbl>
            <c:dLbl>
              <c:idx val="2"/>
              <c:layout>
                <c:manualLayout>
                  <c:x val="-7.397133610725852E-2"/>
                  <c:y val="-8.8235294117647134E-2"/>
                </c:manualLayout>
              </c:layout>
              <c:tx>
                <c:rich>
                  <a:bodyPr/>
                  <a:lstStyle/>
                  <a:p>
                    <a:fld id="{C9564D45-A3FD-48BC-9116-D7C37BDA7422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4C16D675-3645-4D7B-872B-96FA697C7060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DBF6D1AE-7830-4C6B-9397-C868DBB4600F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35DE-4F9E-8317-EB6771F29D5D}"/>
                </c:ext>
              </c:extLst>
            </c:dLbl>
            <c:dLbl>
              <c:idx val="3"/>
              <c:layout>
                <c:manualLayout>
                  <c:x val="-4.1608876560332957E-2"/>
                  <c:y val="-7.8431372549019607E-2"/>
                </c:manualLayout>
              </c:layout>
              <c:tx>
                <c:rich>
                  <a:bodyPr/>
                  <a:lstStyle/>
                  <a:p>
                    <a:fld id="{C7AACBA1-A906-4ADE-A3C0-713453549714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9EEE056B-0408-43C0-9B1B-CE9E55986CD9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38FE6CE6-8ECB-48F1-AAAB-DC80D4470151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5-35DE-4F9E-8317-EB6771F29D5D}"/>
                </c:ext>
              </c:extLst>
            </c:dLbl>
            <c:dLbl>
              <c:idx val="4"/>
              <c:layout>
                <c:manualLayout>
                  <c:x val="-3.1206657420249823E-2"/>
                  <c:y val="-0.10784313725490197"/>
                </c:manualLayout>
              </c:layout>
              <c:tx>
                <c:rich>
                  <a:bodyPr/>
                  <a:lstStyle/>
                  <a:p>
                    <a:fld id="{1323D2B3-E243-434F-A6C1-020927187EBC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9C93095A-76FF-44F4-918A-4B571FC79A13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171C50E0-E08A-4E7F-BA00-F47A4FCFB7DB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35DE-4F9E-8317-EB6771F29D5D}"/>
                </c:ext>
              </c:extLst>
            </c:dLbl>
            <c:dLbl>
              <c:idx val="5"/>
              <c:layout>
                <c:manualLayout>
                  <c:x val="-2.1961039552136907E-2"/>
                  <c:y val="-0.11941156418068538"/>
                </c:manualLayout>
              </c:layout>
              <c:tx>
                <c:rich>
                  <a:bodyPr/>
                  <a:lstStyle/>
                  <a:p>
                    <a:fld id="{862453A5-04CF-413F-B4AC-41DBB2627C5D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BAD9A95D-8DA6-45E5-8607-989192AA0D33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34A6696B-CB3B-4914-A40C-A813983F125D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35DE-4F9E-8317-EB6771F29D5D}"/>
                </c:ext>
              </c:extLst>
            </c:dLbl>
            <c:dLbl>
              <c:idx val="6"/>
              <c:layout>
                <c:manualLayout>
                  <c:x val="-2.8901734104046412E-2"/>
                  <c:y val="-0.10243525318902204"/>
                </c:manualLayout>
              </c:layout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88-35DE-4F9E-8317-EB6771F29D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35DE-4F9E-8317-EB6771F29D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35DE-4F9E-8317-EB6771F29D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35DE-4F9E-8317-EB6771F29D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35DE-4F9E-8317-EB6771F29D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35DE-4F9E-8317-EB6771F29D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round/>
                      <a:headEnd type="diamond" w="sm" len="sm"/>
                    </a:ln>
                    <a:effectLst/>
                  </c:spPr>
                </c15:leaderLines>
              </c:ext>
            </c:extLst>
          </c:dLbls>
          <c:xVal>
            <c:numRef>
              <c:f>'0-3岁儿童（男）身高、体重、BMI'!$X$2:$X$13</c:f>
              <c:numCache>
                <c:formatCode>General</c:formatCode>
                <c:ptCount val="12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xVal>
          <c:yVal>
            <c:numRef>
              <c:f>'0-3岁儿童（男）身高、体重、BMI'!$Z$2:$Z$13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14.5</c:v>
                </c:pt>
                <c:pt idx="5">
                  <c:v>15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'0-3岁儿童（男）身高、体重、BMI'!$T$2:$T$13</c15:f>
                <c15:dlblRangeCache>
                  <c:ptCount val="12"/>
                  <c:pt idx="0">
                    <c:v>6月</c:v>
                  </c:pt>
                  <c:pt idx="1">
                    <c:v>12月</c:v>
                  </c:pt>
                  <c:pt idx="2">
                    <c:v>18月</c:v>
                  </c:pt>
                  <c:pt idx="3">
                    <c:v>2岁</c:v>
                  </c:pt>
                  <c:pt idx="4">
                    <c:v>2.5岁</c:v>
                  </c:pt>
                  <c:pt idx="5">
                    <c:v>3岁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1-35DE-4F9E-8317-EB6771F29D5D}"/>
            </c:ext>
          </c:extLst>
        </c:ser>
        <c:ser>
          <c:idx val="16"/>
          <c:order val="16"/>
          <c:tx>
            <c:v>X轴年龄显示</c:v>
          </c:tx>
          <c:spPr>
            <a:ln w="19050" cap="rnd">
              <a:solidFill>
                <a:schemeClr val="bg1">
                  <a:lumMod val="75000"/>
                  <a:alpha val="98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C13CCBF-7D06-405B-B566-BEECC180744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35DE-4F9E-8317-EB6771F29D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3162DF0-1505-4B59-9C3D-57AC4EF8BB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35DE-4F9E-8317-EB6771F29D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3939EB-73BE-4609-9FEF-5B153D00EC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35DE-4F9E-8317-EB6771F29D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49D9E88-9216-4813-A4B1-35652313777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35DE-4F9E-8317-EB6771F29D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959475F-48A3-4D8E-A564-D564B96BA5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35DE-4F9E-8317-EB6771F29D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D363DF6-A6E7-4A6A-9FE9-3EA3915D7D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35DE-4F9E-8317-EB6771F29D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62B8F76-0383-4969-AB74-8940BE75BC2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35DE-4F9E-8317-EB6771F29D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C8686AF-3469-4770-BC46-094E3C40AC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35DE-4F9E-8317-EB6771F29D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9EDC52A-2148-4A86-9746-A3FA238104D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35DE-4F9E-8317-EB6771F29D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07786C2-7120-47BC-A240-F8083E08DB4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35DE-4F9E-8317-EB6771F29D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7A0638A-A3CD-490A-8446-AEFAEDE056A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35DE-4F9E-8317-EB6771F29D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057EAD2-EEA1-4C34-A934-D0234B6594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35DE-4F9E-8317-EB6771F29D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'0-3岁儿童（男）身高、体重、BMI'!$B$2:$B$13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'0-3岁儿童（男）身高、体重、BMI'!$A$2:$A$13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'0-3岁儿童（男）身高、体重、BMI'!$A$2:$A$13</c15:f>
                <c15:dlblRangeCache>
                  <c:ptCount val="12"/>
                  <c:pt idx="0">
                    <c:v>0月</c:v>
                  </c:pt>
                  <c:pt idx="1">
                    <c:v>2月</c:v>
                  </c:pt>
                  <c:pt idx="2">
                    <c:v>4月</c:v>
                  </c:pt>
                  <c:pt idx="3">
                    <c:v>6月</c:v>
                  </c:pt>
                  <c:pt idx="4">
                    <c:v>9月</c:v>
                  </c:pt>
                  <c:pt idx="5">
                    <c:v>12月</c:v>
                  </c:pt>
                  <c:pt idx="6">
                    <c:v>15月</c:v>
                  </c:pt>
                  <c:pt idx="7">
                    <c:v>18月</c:v>
                  </c:pt>
                  <c:pt idx="8">
                    <c:v>21月</c:v>
                  </c:pt>
                  <c:pt idx="9">
                    <c:v>2岁</c:v>
                  </c:pt>
                  <c:pt idx="10">
                    <c:v>2.5岁</c:v>
                  </c:pt>
                  <c:pt idx="11">
                    <c:v>3岁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E-35DE-4F9E-8317-EB6771F2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012864"/>
        <c:axId val="983438592"/>
      </c:scatterChart>
      <c:valAx>
        <c:axId val="1236842944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6836464"/>
        <c:crosses val="autoZero"/>
        <c:crossBetween val="midCat"/>
        <c:majorUnit val="4"/>
      </c:valAx>
      <c:valAx>
        <c:axId val="12368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身高（</a:t>
                </a:r>
                <a:r>
                  <a:rPr lang="en-US" altLang="zh-CN" b="1"/>
                  <a:t>cm</a:t>
                </a:r>
                <a:r>
                  <a:rPr lang="zh-CN" altLang="en-US" b="1"/>
                  <a:t>）</a:t>
                </a:r>
              </a:p>
            </c:rich>
          </c:tx>
          <c:layout>
            <c:manualLayout>
              <c:xMode val="edge"/>
              <c:yMode val="edge"/>
              <c:x val="0.1038342597951955"/>
              <c:y val="3.49329936699089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6842944"/>
        <c:crosses val="autoZero"/>
        <c:crossBetween val="midCat"/>
        <c:majorUnit val="5"/>
      </c:valAx>
      <c:valAx>
        <c:axId val="983438592"/>
        <c:scaling>
          <c:orientation val="minMax"/>
          <c:max val="30"/>
        </c:scaling>
        <c:delete val="0"/>
        <c:axPos val="r"/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体重（</a:t>
                </a:r>
                <a:r>
                  <a:rPr lang="en-US" altLang="zh-CN" b="1"/>
                  <a:t>Kg</a:t>
                </a:r>
                <a:r>
                  <a:rPr lang="zh-CN" altLang="en-US" b="1"/>
                  <a:t>）</a:t>
                </a:r>
              </a:p>
            </c:rich>
          </c:tx>
          <c:layout>
            <c:manualLayout>
              <c:xMode val="edge"/>
              <c:yMode val="edge"/>
              <c:x val="0.91348144229006945"/>
              <c:y val="3.68937357897908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9012864"/>
        <c:crosses val="max"/>
        <c:crossBetween val="midCat"/>
        <c:majorUnit val="2"/>
      </c:valAx>
      <c:valAx>
        <c:axId val="979012864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98343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15"/>
        <c:delete val="1"/>
      </c:legendEntry>
      <c:legendEntry>
        <c:idx val="16"/>
        <c:delete val="1"/>
      </c:legendEntry>
      <c:layout>
        <c:manualLayout>
          <c:xMode val="edge"/>
          <c:yMode val="edge"/>
          <c:x val="9.1511359220141253E-2"/>
          <c:y val="0.96738477365628872"/>
          <c:w val="0.88042216066865164"/>
          <c:h val="3.2615226343711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bg1">
          <a:lumMod val="50000"/>
        </a:schemeClr>
      </a:solidFill>
      <a:prstDash val="solid"/>
      <a:round/>
    </a:ln>
    <a:effectLst>
      <a:softEdge rad="25400"/>
    </a:effec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1"/>
              <a:t>中国</a:t>
            </a:r>
            <a:r>
              <a:rPr lang="en-US" altLang="zh-CN" sz="1200" b="1"/>
              <a:t>2-18</a:t>
            </a:r>
            <a:r>
              <a:rPr lang="zh-CN" altLang="en-US" sz="1200" b="1"/>
              <a:t>岁儿童青少年（男）</a:t>
            </a:r>
            <a:r>
              <a:rPr lang="en-US" altLang="zh-CN" sz="1200" b="1"/>
              <a:t>BMI</a:t>
            </a:r>
            <a:r>
              <a:rPr lang="zh-CN" altLang="en-US" sz="1200" b="1"/>
              <a:t>百分位曲线图</a:t>
            </a:r>
          </a:p>
        </c:rich>
      </c:tx>
      <c:layout>
        <c:manualLayout>
          <c:xMode val="edge"/>
          <c:yMode val="edge"/>
          <c:x val="0.3057497272821611"/>
          <c:y val="1.544998068752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7088514977294507E-2"/>
          <c:y val="7.5251138219541797E-2"/>
          <c:w val="0.92718397179519241"/>
          <c:h val="0.835769746626399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'百分位指标源数据-男'!$Q$1</c:f>
              <c:strCache>
                <c:ptCount val="1"/>
                <c:pt idx="0">
                  <c:v>3rd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'百分位指标源数据-男'!$Q$2:$Q$34</c:f>
              <c:numCache>
                <c:formatCode>General</c:formatCode>
                <c:ptCount val="33"/>
                <c:pt idx="0">
                  <c:v>14.3</c:v>
                </c:pt>
                <c:pt idx="1">
                  <c:v>14</c:v>
                </c:pt>
                <c:pt idx="2">
                  <c:v>13.7</c:v>
                </c:pt>
                <c:pt idx="3">
                  <c:v>13.5</c:v>
                </c:pt>
                <c:pt idx="4">
                  <c:v>13.4</c:v>
                </c:pt>
                <c:pt idx="5">
                  <c:v>13.3</c:v>
                </c:pt>
                <c:pt idx="6">
                  <c:v>13.2</c:v>
                </c:pt>
                <c:pt idx="7">
                  <c:v>13.2</c:v>
                </c:pt>
                <c:pt idx="8">
                  <c:v>13.1</c:v>
                </c:pt>
                <c:pt idx="9">
                  <c:v>13.1</c:v>
                </c:pt>
                <c:pt idx="10">
                  <c:v>13.1</c:v>
                </c:pt>
                <c:pt idx="11">
                  <c:v>13.1</c:v>
                </c:pt>
                <c:pt idx="12">
                  <c:v>13.2</c:v>
                </c:pt>
                <c:pt idx="13">
                  <c:v>13.2</c:v>
                </c:pt>
                <c:pt idx="14">
                  <c:v>13.3</c:v>
                </c:pt>
                <c:pt idx="15">
                  <c:v>13.4</c:v>
                </c:pt>
                <c:pt idx="16">
                  <c:v>13.6</c:v>
                </c:pt>
                <c:pt idx="17">
                  <c:v>13.7</c:v>
                </c:pt>
                <c:pt idx="18">
                  <c:v>13.9</c:v>
                </c:pt>
                <c:pt idx="19">
                  <c:v>14.1</c:v>
                </c:pt>
                <c:pt idx="20">
                  <c:v>14.3</c:v>
                </c:pt>
                <c:pt idx="21">
                  <c:v>14.5</c:v>
                </c:pt>
                <c:pt idx="22">
                  <c:v>14.7</c:v>
                </c:pt>
                <c:pt idx="23">
                  <c:v>14.8</c:v>
                </c:pt>
                <c:pt idx="24">
                  <c:v>15</c:v>
                </c:pt>
                <c:pt idx="25">
                  <c:v>15.2</c:v>
                </c:pt>
                <c:pt idx="26">
                  <c:v>15.4</c:v>
                </c:pt>
                <c:pt idx="27">
                  <c:v>15.5</c:v>
                </c:pt>
                <c:pt idx="28">
                  <c:v>15.7</c:v>
                </c:pt>
                <c:pt idx="29">
                  <c:v>15.8</c:v>
                </c:pt>
                <c:pt idx="30">
                  <c:v>16</c:v>
                </c:pt>
                <c:pt idx="31">
                  <c:v>16.100000000000001</c:v>
                </c:pt>
                <c:pt idx="32">
                  <c:v>16.3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8A-4B56-9CF1-7D6265F8F8DB}"/>
            </c:ext>
          </c:extLst>
        </c:ser>
        <c:ser>
          <c:idx val="1"/>
          <c:order val="1"/>
          <c:tx>
            <c:strRef>
              <c:f>'百分位指标源数据-男'!$R$1</c:f>
              <c:strCache>
                <c:ptCount val="1"/>
                <c:pt idx="0">
                  <c:v>5th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'百分位指标源数据-男'!$R$2:$R$34</c:f>
              <c:numCache>
                <c:formatCode>General</c:formatCode>
                <c:ptCount val="33"/>
                <c:pt idx="0">
                  <c:v>14.5</c:v>
                </c:pt>
                <c:pt idx="1">
                  <c:v>14.2</c:v>
                </c:pt>
                <c:pt idx="2">
                  <c:v>14</c:v>
                </c:pt>
                <c:pt idx="3">
                  <c:v>13.8</c:v>
                </c:pt>
                <c:pt idx="4">
                  <c:v>13.6</c:v>
                </c:pt>
                <c:pt idx="5">
                  <c:v>13.5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13.3</c:v>
                </c:pt>
                <c:pt idx="10">
                  <c:v>13.4</c:v>
                </c:pt>
                <c:pt idx="11">
                  <c:v>13.4</c:v>
                </c:pt>
                <c:pt idx="12">
                  <c:v>13.5</c:v>
                </c:pt>
                <c:pt idx="13">
                  <c:v>13.5</c:v>
                </c:pt>
                <c:pt idx="14">
                  <c:v>13.7</c:v>
                </c:pt>
                <c:pt idx="15">
                  <c:v>13.8</c:v>
                </c:pt>
                <c:pt idx="16">
                  <c:v>13.9</c:v>
                </c:pt>
                <c:pt idx="17">
                  <c:v>14.1</c:v>
                </c:pt>
                <c:pt idx="18">
                  <c:v>14.3</c:v>
                </c:pt>
                <c:pt idx="19">
                  <c:v>14.5</c:v>
                </c:pt>
                <c:pt idx="20">
                  <c:v>14.7</c:v>
                </c:pt>
                <c:pt idx="21">
                  <c:v>14.9</c:v>
                </c:pt>
                <c:pt idx="22">
                  <c:v>15.1</c:v>
                </c:pt>
                <c:pt idx="23">
                  <c:v>15.3</c:v>
                </c:pt>
                <c:pt idx="24">
                  <c:v>15.4</c:v>
                </c:pt>
                <c:pt idx="25">
                  <c:v>15.6</c:v>
                </c:pt>
                <c:pt idx="26">
                  <c:v>15.8</c:v>
                </c:pt>
                <c:pt idx="27">
                  <c:v>16</c:v>
                </c:pt>
                <c:pt idx="28">
                  <c:v>16.100000000000001</c:v>
                </c:pt>
                <c:pt idx="29">
                  <c:v>16.3</c:v>
                </c:pt>
                <c:pt idx="30">
                  <c:v>16.5</c:v>
                </c:pt>
                <c:pt idx="31">
                  <c:v>16.600000000000001</c:v>
                </c:pt>
                <c:pt idx="32">
                  <c:v>16.7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8A-4B56-9CF1-7D6265F8F8DB}"/>
            </c:ext>
          </c:extLst>
        </c:ser>
        <c:ser>
          <c:idx val="2"/>
          <c:order val="2"/>
          <c:tx>
            <c:strRef>
              <c:f>'百分位指标源数据-男'!$S$1</c:f>
              <c:strCache>
                <c:ptCount val="1"/>
                <c:pt idx="0">
                  <c:v>10th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'百分位指标源数据-男'!$S$2:$S$34</c:f>
              <c:numCache>
                <c:formatCode>General</c:formatCode>
                <c:ptCount val="33"/>
                <c:pt idx="0">
                  <c:v>14.9</c:v>
                </c:pt>
                <c:pt idx="1">
                  <c:v>14.6</c:v>
                </c:pt>
                <c:pt idx="2">
                  <c:v>14.3</c:v>
                </c:pt>
                <c:pt idx="3">
                  <c:v>14.1</c:v>
                </c:pt>
                <c:pt idx="4">
                  <c:v>14</c:v>
                </c:pt>
                <c:pt idx="5">
                  <c:v>13.8</c:v>
                </c:pt>
                <c:pt idx="6">
                  <c:v>13.8</c:v>
                </c:pt>
                <c:pt idx="7">
                  <c:v>13.8</c:v>
                </c:pt>
                <c:pt idx="8">
                  <c:v>13.7</c:v>
                </c:pt>
                <c:pt idx="9">
                  <c:v>13.8</c:v>
                </c:pt>
                <c:pt idx="10">
                  <c:v>13.8</c:v>
                </c:pt>
                <c:pt idx="11">
                  <c:v>13.9</c:v>
                </c:pt>
                <c:pt idx="12">
                  <c:v>13.9</c:v>
                </c:pt>
                <c:pt idx="13">
                  <c:v>14</c:v>
                </c:pt>
                <c:pt idx="14">
                  <c:v>14.2</c:v>
                </c:pt>
                <c:pt idx="15">
                  <c:v>14.3</c:v>
                </c:pt>
                <c:pt idx="16">
                  <c:v>14.5</c:v>
                </c:pt>
                <c:pt idx="17">
                  <c:v>14.7</c:v>
                </c:pt>
                <c:pt idx="18">
                  <c:v>14.9</c:v>
                </c:pt>
                <c:pt idx="19">
                  <c:v>15.1</c:v>
                </c:pt>
                <c:pt idx="20">
                  <c:v>15.3</c:v>
                </c:pt>
                <c:pt idx="21">
                  <c:v>15.5</c:v>
                </c:pt>
                <c:pt idx="22">
                  <c:v>15.7</c:v>
                </c:pt>
                <c:pt idx="23">
                  <c:v>15.9</c:v>
                </c:pt>
                <c:pt idx="24">
                  <c:v>16.100000000000001</c:v>
                </c:pt>
                <c:pt idx="25">
                  <c:v>16.3</c:v>
                </c:pt>
                <c:pt idx="26">
                  <c:v>16.5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17.100000000000001</c:v>
                </c:pt>
                <c:pt idx="30">
                  <c:v>17.2</c:v>
                </c:pt>
                <c:pt idx="31">
                  <c:v>17.399999999999999</c:v>
                </c:pt>
                <c:pt idx="32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8A-4B56-9CF1-7D6265F8F8DB}"/>
            </c:ext>
          </c:extLst>
        </c:ser>
        <c:ser>
          <c:idx val="3"/>
          <c:order val="3"/>
          <c:tx>
            <c:strRef>
              <c:f>'百分位指标源数据-男'!$T$1</c:f>
              <c:strCache>
                <c:ptCount val="1"/>
                <c:pt idx="0">
                  <c:v>15th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'百分位指标源数据-男'!$T$2:$T$34</c:f>
              <c:numCache>
                <c:formatCode>General</c:formatCode>
                <c:ptCount val="33"/>
                <c:pt idx="0">
                  <c:v>15.1</c:v>
                </c:pt>
                <c:pt idx="1">
                  <c:v>14.8</c:v>
                </c:pt>
                <c:pt idx="2">
                  <c:v>14.5</c:v>
                </c:pt>
                <c:pt idx="3">
                  <c:v>14.3</c:v>
                </c:pt>
                <c:pt idx="4">
                  <c:v>14.2</c:v>
                </c:pt>
                <c:pt idx="5">
                  <c:v>14.1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14.1</c:v>
                </c:pt>
                <c:pt idx="11">
                  <c:v>14.2</c:v>
                </c:pt>
                <c:pt idx="12">
                  <c:v>14.3</c:v>
                </c:pt>
                <c:pt idx="13">
                  <c:v>14.4</c:v>
                </c:pt>
                <c:pt idx="14">
                  <c:v>14.6</c:v>
                </c:pt>
                <c:pt idx="15">
                  <c:v>14.7</c:v>
                </c:pt>
                <c:pt idx="16">
                  <c:v>14.9</c:v>
                </c:pt>
                <c:pt idx="17">
                  <c:v>15.1</c:v>
                </c:pt>
                <c:pt idx="18">
                  <c:v>15.3</c:v>
                </c:pt>
                <c:pt idx="19">
                  <c:v>15.6</c:v>
                </c:pt>
                <c:pt idx="20">
                  <c:v>15.8</c:v>
                </c:pt>
                <c:pt idx="21">
                  <c:v>16</c:v>
                </c:pt>
                <c:pt idx="22">
                  <c:v>16.2</c:v>
                </c:pt>
                <c:pt idx="23">
                  <c:v>16.399999999999999</c:v>
                </c:pt>
                <c:pt idx="24">
                  <c:v>16.7</c:v>
                </c:pt>
                <c:pt idx="25">
                  <c:v>16.899999999999999</c:v>
                </c:pt>
                <c:pt idx="26">
                  <c:v>17.100000000000001</c:v>
                </c:pt>
                <c:pt idx="27">
                  <c:v>17.2</c:v>
                </c:pt>
                <c:pt idx="28">
                  <c:v>17.399999999999999</c:v>
                </c:pt>
                <c:pt idx="29">
                  <c:v>17.600000000000001</c:v>
                </c:pt>
                <c:pt idx="30">
                  <c:v>17.8</c:v>
                </c:pt>
                <c:pt idx="31">
                  <c:v>17.899999999999999</c:v>
                </c:pt>
                <c:pt idx="32">
                  <c:v>18.100000000000001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8A-4B56-9CF1-7D6265F8F8DB}"/>
            </c:ext>
          </c:extLst>
        </c:ser>
        <c:ser>
          <c:idx val="4"/>
          <c:order val="4"/>
          <c:tx>
            <c:strRef>
              <c:f>'百分位指标源数据-男'!$U$1</c:f>
              <c:strCache>
                <c:ptCount val="1"/>
                <c:pt idx="0">
                  <c:v>50th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'百分位指标源数据-男'!$U$2:$U$34</c:f>
              <c:numCache>
                <c:formatCode>General</c:formatCode>
                <c:ptCount val="33"/>
                <c:pt idx="0">
                  <c:v>16.3</c:v>
                </c:pt>
                <c:pt idx="1">
                  <c:v>16</c:v>
                </c:pt>
                <c:pt idx="2">
                  <c:v>15.7</c:v>
                </c:pt>
                <c:pt idx="3">
                  <c:v>15.5</c:v>
                </c:pt>
                <c:pt idx="4">
                  <c:v>15.3</c:v>
                </c:pt>
                <c:pt idx="5">
                  <c:v>15.2</c:v>
                </c:pt>
                <c:pt idx="6">
                  <c:v>15.3</c:v>
                </c:pt>
                <c:pt idx="7">
                  <c:v>15.3</c:v>
                </c:pt>
                <c:pt idx="8">
                  <c:v>15.3</c:v>
                </c:pt>
                <c:pt idx="9">
                  <c:v>15.5</c:v>
                </c:pt>
                <c:pt idx="10">
                  <c:v>15.6</c:v>
                </c:pt>
                <c:pt idx="11">
                  <c:v>15.8</c:v>
                </c:pt>
                <c:pt idx="12">
                  <c:v>16</c:v>
                </c:pt>
                <c:pt idx="13">
                  <c:v>16.2</c:v>
                </c:pt>
                <c:pt idx="14">
                  <c:v>16.399999999999999</c:v>
                </c:pt>
                <c:pt idx="15">
                  <c:v>16.7</c:v>
                </c:pt>
                <c:pt idx="16">
                  <c:v>17</c:v>
                </c:pt>
                <c:pt idx="17">
                  <c:v>17.2</c:v>
                </c:pt>
                <c:pt idx="18">
                  <c:v>17.5</c:v>
                </c:pt>
                <c:pt idx="19">
                  <c:v>17.8</c:v>
                </c:pt>
                <c:pt idx="20">
                  <c:v>18.100000000000001</c:v>
                </c:pt>
                <c:pt idx="21">
                  <c:v>18.399999999999999</c:v>
                </c:pt>
                <c:pt idx="22">
                  <c:v>18.7</c:v>
                </c:pt>
                <c:pt idx="23">
                  <c:v>18.899999999999999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19.7</c:v>
                </c:pt>
                <c:pt idx="27">
                  <c:v>19.899999999999999</c:v>
                </c:pt>
                <c:pt idx="28">
                  <c:v>20.100000000000001</c:v>
                </c:pt>
                <c:pt idx="29">
                  <c:v>20.3</c:v>
                </c:pt>
                <c:pt idx="30">
                  <c:v>20.5</c:v>
                </c:pt>
                <c:pt idx="31">
                  <c:v>20.7</c:v>
                </c:pt>
                <c:pt idx="32">
                  <c:v>20.8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8A-4B56-9CF1-7D6265F8F8DB}"/>
            </c:ext>
          </c:extLst>
        </c:ser>
        <c:ser>
          <c:idx val="5"/>
          <c:order val="5"/>
          <c:tx>
            <c:strRef>
              <c:f>'百分位指标源数据-男'!$V$1</c:f>
              <c:strCache>
                <c:ptCount val="1"/>
                <c:pt idx="0">
                  <c:v>85th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'百分位指标源数据-男'!$V$2:$V$34</c:f>
              <c:numCache>
                <c:formatCode>General</c:formatCode>
                <c:ptCount val="33"/>
                <c:pt idx="0">
                  <c:v>17.7</c:v>
                </c:pt>
                <c:pt idx="1">
                  <c:v>17.3</c:v>
                </c:pt>
                <c:pt idx="2">
                  <c:v>17</c:v>
                </c:pt>
                <c:pt idx="3">
                  <c:v>16.8</c:v>
                </c:pt>
                <c:pt idx="4">
                  <c:v>16.7</c:v>
                </c:pt>
                <c:pt idx="5">
                  <c:v>16.600000000000001</c:v>
                </c:pt>
                <c:pt idx="6">
                  <c:v>16.7</c:v>
                </c:pt>
                <c:pt idx="7">
                  <c:v>16.8</c:v>
                </c:pt>
                <c:pt idx="8">
                  <c:v>17</c:v>
                </c:pt>
                <c:pt idx="9">
                  <c:v>17.2</c:v>
                </c:pt>
                <c:pt idx="10">
                  <c:v>17.5</c:v>
                </c:pt>
                <c:pt idx="11">
                  <c:v>17.8</c:v>
                </c:pt>
                <c:pt idx="12">
                  <c:v>18.100000000000001</c:v>
                </c:pt>
                <c:pt idx="13">
                  <c:v>18.5</c:v>
                </c:pt>
                <c:pt idx="14">
                  <c:v>18.899999999999999</c:v>
                </c:pt>
                <c:pt idx="15">
                  <c:v>19.2</c:v>
                </c:pt>
                <c:pt idx="16">
                  <c:v>19.600000000000001</c:v>
                </c:pt>
                <c:pt idx="17">
                  <c:v>20.100000000000001</c:v>
                </c:pt>
                <c:pt idx="18">
                  <c:v>20.5</c:v>
                </c:pt>
                <c:pt idx="19">
                  <c:v>20.8</c:v>
                </c:pt>
                <c:pt idx="20">
                  <c:v>21.2</c:v>
                </c:pt>
                <c:pt idx="21">
                  <c:v>21.6</c:v>
                </c:pt>
                <c:pt idx="22">
                  <c:v>21.9</c:v>
                </c:pt>
                <c:pt idx="23">
                  <c:v>22.3</c:v>
                </c:pt>
                <c:pt idx="24">
                  <c:v>22.6</c:v>
                </c:pt>
                <c:pt idx="25">
                  <c:v>22.9</c:v>
                </c:pt>
                <c:pt idx="26">
                  <c:v>23.1</c:v>
                </c:pt>
                <c:pt idx="27">
                  <c:v>23.4</c:v>
                </c:pt>
                <c:pt idx="28">
                  <c:v>23.6</c:v>
                </c:pt>
                <c:pt idx="29">
                  <c:v>23.9</c:v>
                </c:pt>
                <c:pt idx="30">
                  <c:v>24.1</c:v>
                </c:pt>
                <c:pt idx="31">
                  <c:v>24.3</c:v>
                </c:pt>
                <c:pt idx="32">
                  <c:v>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8A-4B56-9CF1-7D6265F8F8DB}"/>
            </c:ext>
          </c:extLst>
        </c:ser>
        <c:ser>
          <c:idx val="6"/>
          <c:order val="6"/>
          <c:tx>
            <c:strRef>
              <c:f>'百分位指标源数据-男'!$W$1</c:f>
              <c:strCache>
                <c:ptCount val="1"/>
                <c:pt idx="0">
                  <c:v>90th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'百分位指标源数据-男'!$W$2:$W$34</c:f>
              <c:numCache>
                <c:formatCode>General</c:formatCode>
                <c:ptCount val="33"/>
                <c:pt idx="0">
                  <c:v>18.100000000000001</c:v>
                </c:pt>
                <c:pt idx="1">
                  <c:v>17.7</c:v>
                </c:pt>
                <c:pt idx="2">
                  <c:v>17.3</c:v>
                </c:pt>
                <c:pt idx="3">
                  <c:v>17.100000000000001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17.2</c:v>
                </c:pt>
                <c:pt idx="8">
                  <c:v>17.399999999999999</c:v>
                </c:pt>
                <c:pt idx="9">
                  <c:v>17.7</c:v>
                </c:pt>
                <c:pt idx="10">
                  <c:v>18</c:v>
                </c:pt>
                <c:pt idx="11">
                  <c:v>18.3</c:v>
                </c:pt>
                <c:pt idx="12">
                  <c:v>18.7</c:v>
                </c:pt>
                <c:pt idx="13">
                  <c:v>19.100000000000001</c:v>
                </c:pt>
                <c:pt idx="14">
                  <c:v>19.5</c:v>
                </c:pt>
                <c:pt idx="15">
                  <c:v>20</c:v>
                </c:pt>
                <c:pt idx="16">
                  <c:v>20.399999999999999</c:v>
                </c:pt>
                <c:pt idx="17">
                  <c:v>20.9</c:v>
                </c:pt>
                <c:pt idx="18">
                  <c:v>21.3</c:v>
                </c:pt>
                <c:pt idx="19">
                  <c:v>21.7</c:v>
                </c:pt>
                <c:pt idx="20">
                  <c:v>22.1</c:v>
                </c:pt>
                <c:pt idx="21">
                  <c:v>22.5</c:v>
                </c:pt>
                <c:pt idx="22">
                  <c:v>22.9</c:v>
                </c:pt>
                <c:pt idx="23">
                  <c:v>23.2</c:v>
                </c:pt>
                <c:pt idx="24">
                  <c:v>23.5</c:v>
                </c:pt>
                <c:pt idx="25">
                  <c:v>23.8</c:v>
                </c:pt>
                <c:pt idx="26">
                  <c:v>24.1</c:v>
                </c:pt>
                <c:pt idx="27">
                  <c:v>24.4</c:v>
                </c:pt>
                <c:pt idx="28">
                  <c:v>24.7</c:v>
                </c:pt>
                <c:pt idx="29">
                  <c:v>24.9</c:v>
                </c:pt>
                <c:pt idx="30">
                  <c:v>25.1</c:v>
                </c:pt>
                <c:pt idx="31">
                  <c:v>25.4</c:v>
                </c:pt>
                <c:pt idx="32">
                  <c:v>25.6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8A-4B56-9CF1-7D6265F8F8DB}"/>
            </c:ext>
          </c:extLst>
        </c:ser>
        <c:ser>
          <c:idx val="7"/>
          <c:order val="7"/>
          <c:tx>
            <c:strRef>
              <c:f>'百分位指标源数据-男'!$X$1</c:f>
              <c:strCache>
                <c:ptCount val="1"/>
                <c:pt idx="0">
                  <c:v>95th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'百分位指标源数据-男'!$X$2:$X$34</c:f>
              <c:numCache>
                <c:formatCode>General</c:formatCode>
                <c:ptCount val="33"/>
                <c:pt idx="0">
                  <c:v>18.600000000000001</c:v>
                </c:pt>
                <c:pt idx="1">
                  <c:v>18.2</c:v>
                </c:pt>
                <c:pt idx="2">
                  <c:v>17.899999999999999</c:v>
                </c:pt>
                <c:pt idx="3">
                  <c:v>17.600000000000001</c:v>
                </c:pt>
                <c:pt idx="4">
                  <c:v>17.600000000000001</c:v>
                </c:pt>
                <c:pt idx="5">
                  <c:v>17.5</c:v>
                </c:pt>
                <c:pt idx="6">
                  <c:v>17.600000000000001</c:v>
                </c:pt>
                <c:pt idx="7">
                  <c:v>18.100000000000001</c:v>
                </c:pt>
                <c:pt idx="8">
                  <c:v>18.100000000000001</c:v>
                </c:pt>
                <c:pt idx="9">
                  <c:v>18.399999999999999</c:v>
                </c:pt>
                <c:pt idx="10">
                  <c:v>18.8</c:v>
                </c:pt>
                <c:pt idx="11">
                  <c:v>19.2</c:v>
                </c:pt>
                <c:pt idx="12">
                  <c:v>19.7</c:v>
                </c:pt>
                <c:pt idx="13">
                  <c:v>20.2</c:v>
                </c:pt>
                <c:pt idx="14">
                  <c:v>20.7</c:v>
                </c:pt>
                <c:pt idx="15">
                  <c:v>21.2</c:v>
                </c:pt>
                <c:pt idx="16">
                  <c:v>21.7</c:v>
                </c:pt>
                <c:pt idx="17">
                  <c:v>22.2</c:v>
                </c:pt>
                <c:pt idx="18">
                  <c:v>22.7</c:v>
                </c:pt>
                <c:pt idx="19">
                  <c:v>23.1</c:v>
                </c:pt>
                <c:pt idx="20">
                  <c:v>23.6</c:v>
                </c:pt>
                <c:pt idx="21">
                  <c:v>24</c:v>
                </c:pt>
                <c:pt idx="22">
                  <c:v>24.4</c:v>
                </c:pt>
                <c:pt idx="23">
                  <c:v>24.8</c:v>
                </c:pt>
                <c:pt idx="24">
                  <c:v>25.1</c:v>
                </c:pt>
                <c:pt idx="25">
                  <c:v>25.5</c:v>
                </c:pt>
                <c:pt idx="26">
                  <c:v>25.8</c:v>
                </c:pt>
                <c:pt idx="27">
                  <c:v>26.1</c:v>
                </c:pt>
                <c:pt idx="28">
                  <c:v>26.3</c:v>
                </c:pt>
                <c:pt idx="29">
                  <c:v>26.6</c:v>
                </c:pt>
                <c:pt idx="30">
                  <c:v>26.8</c:v>
                </c:pt>
                <c:pt idx="31">
                  <c:v>27.1</c:v>
                </c:pt>
                <c:pt idx="32">
                  <c:v>27.3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8A-4B56-9CF1-7D6265F8F8DB}"/>
            </c:ext>
          </c:extLst>
        </c:ser>
        <c:ser>
          <c:idx val="8"/>
          <c:order val="8"/>
          <c:tx>
            <c:strRef>
              <c:f>'百分位指标源数据-男'!$Y$1</c:f>
              <c:strCache>
                <c:ptCount val="1"/>
                <c:pt idx="0">
                  <c:v>97th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'百分位指标源数据-男'!$P$2:$P$34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'百分位指标源数据-男'!$Y$2:$Y$34</c:f>
              <c:numCache>
                <c:formatCode>General</c:formatCode>
                <c:ptCount val="33"/>
                <c:pt idx="0">
                  <c:v>19</c:v>
                </c:pt>
                <c:pt idx="1">
                  <c:v>18.600000000000001</c:v>
                </c:pt>
                <c:pt idx="2">
                  <c:v>18.2</c:v>
                </c:pt>
                <c:pt idx="3">
                  <c:v>18</c:v>
                </c:pt>
                <c:pt idx="4">
                  <c:v>17.899999999999999</c:v>
                </c:pt>
                <c:pt idx="5">
                  <c:v>17.899999999999999</c:v>
                </c:pt>
                <c:pt idx="6">
                  <c:v>18.100000000000001</c:v>
                </c:pt>
                <c:pt idx="7">
                  <c:v>18.600000000000001</c:v>
                </c:pt>
                <c:pt idx="8">
                  <c:v>18.600000000000001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19.899999999999999</c:v>
                </c:pt>
                <c:pt idx="12">
                  <c:v>20.399999999999999</c:v>
                </c:pt>
                <c:pt idx="13">
                  <c:v>20.9</c:v>
                </c:pt>
                <c:pt idx="14">
                  <c:v>21.5</c:v>
                </c:pt>
                <c:pt idx="15">
                  <c:v>22</c:v>
                </c:pt>
                <c:pt idx="16">
                  <c:v>22.6</c:v>
                </c:pt>
                <c:pt idx="17">
                  <c:v>23.1</c:v>
                </c:pt>
                <c:pt idx="18">
                  <c:v>23.6</c:v>
                </c:pt>
                <c:pt idx="19">
                  <c:v>24.2</c:v>
                </c:pt>
                <c:pt idx="20">
                  <c:v>24.6</c:v>
                </c:pt>
                <c:pt idx="21">
                  <c:v>25.1</c:v>
                </c:pt>
                <c:pt idx="22">
                  <c:v>25.5</c:v>
                </c:pt>
                <c:pt idx="23">
                  <c:v>25.9</c:v>
                </c:pt>
                <c:pt idx="24">
                  <c:v>26.3</c:v>
                </c:pt>
                <c:pt idx="25">
                  <c:v>26.6</c:v>
                </c:pt>
                <c:pt idx="26">
                  <c:v>26.9</c:v>
                </c:pt>
                <c:pt idx="27">
                  <c:v>27.2</c:v>
                </c:pt>
                <c:pt idx="28">
                  <c:v>27.5</c:v>
                </c:pt>
                <c:pt idx="29">
                  <c:v>27.8</c:v>
                </c:pt>
                <c:pt idx="30">
                  <c:v>28</c:v>
                </c:pt>
                <c:pt idx="31">
                  <c:v>28.3</c:v>
                </c:pt>
                <c:pt idx="32">
                  <c:v>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8A-4B56-9CF1-7D6265F8F8DB}"/>
            </c:ext>
          </c:extLst>
        </c:ser>
        <c:ser>
          <c:idx val="9"/>
          <c:order val="9"/>
          <c:tx>
            <c:v>BMI计算值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headEnd w="sm" len="sm"/>
              </a:ln>
              <a:effectLst/>
            </c:spPr>
          </c:marker>
          <c:dLbls>
            <c:dLbl>
              <c:idx val="0"/>
              <c:layout>
                <c:manualLayout>
                  <c:x val="-5.1857771635826146E-2"/>
                  <c:y val="-0.19119351100811124"/>
                </c:manualLayout>
              </c:layout>
              <c:tx>
                <c:rich>
                  <a:bodyPr/>
                  <a:lstStyle/>
                  <a:p>
                    <a:fld id="{CBD9A653-97B5-4BB1-A3A9-AC62176C1531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B0AE97B0-93AC-4F78-8614-EAE9C3A84787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A0E47578-197F-4D73-AB92-C8198571CD55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A49-476C-B416-BD6AE74D7091}"/>
                </c:ext>
              </c:extLst>
            </c:dLbl>
            <c:dLbl>
              <c:idx val="1"/>
              <c:layout>
                <c:manualLayout>
                  <c:x val="5.4794645365568453E-2"/>
                  <c:y val="-0.11587485515643106"/>
                </c:manualLayout>
              </c:layout>
              <c:tx>
                <c:rich>
                  <a:bodyPr/>
                  <a:lstStyle/>
                  <a:p>
                    <a:fld id="{008E01F7-469F-482C-8B25-B0E90F86747C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26263BB8-2657-48FF-8285-56A831796184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704EC531-70DE-47BD-8228-F77C4D6823D1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A49-476C-B416-BD6AE74D7091}"/>
                </c:ext>
              </c:extLst>
            </c:dLbl>
            <c:dLbl>
              <c:idx val="2"/>
              <c:layout>
                <c:manualLayout>
                  <c:x val="3.3762341905911715E-2"/>
                  <c:y val="0.12166859791425261"/>
                </c:manualLayout>
              </c:layout>
              <c:tx>
                <c:rich>
                  <a:bodyPr/>
                  <a:lstStyle/>
                  <a:p>
                    <a:fld id="{38960021-16FB-4A44-A41A-F5C27A38730D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8732DEBC-11F3-4E03-857A-093EF3D1EC87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448D1167-E344-45CA-BDA6-A52D6AEEA3FF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A49-476C-B416-BD6AE74D70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'0-3岁儿童（男）身高、体重、BMI'!$AB$5:$AB$7</c:f>
              <c:numCache>
                <c:formatCode>General</c:formatCode>
                <c:ptCount val="3"/>
                <c:pt idx="0">
                  <c:v>2</c:v>
                </c:pt>
                <c:pt idx="1">
                  <c:v>2.5</c:v>
                </c:pt>
                <c:pt idx="2">
                  <c:v>3</c:v>
                </c:pt>
              </c:numCache>
            </c:numRef>
          </c:xVal>
          <c:yVal>
            <c:numRef>
              <c:f>'0-3岁儿童（男）身高、体重、BMI'!$AC$5:$AC$7</c:f>
              <c:numCache>
                <c:formatCode>General</c:formatCode>
                <c:ptCount val="3"/>
                <c:pt idx="0">
                  <c:v>16.5</c:v>
                </c:pt>
                <c:pt idx="1">
                  <c:v>16.399999999999999</c:v>
                </c:pt>
                <c:pt idx="2">
                  <c:v>15.6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'0-3岁儿童（男）身高、体重、BMI'!$T$5:$T$7</c15:f>
                <c15:dlblRangeCache>
                  <c:ptCount val="3"/>
                  <c:pt idx="0">
                    <c:v>2岁</c:v>
                  </c:pt>
                  <c:pt idx="1">
                    <c:v>2.5岁</c:v>
                  </c:pt>
                  <c:pt idx="2">
                    <c:v>3岁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DA49-476C-B416-BD6AE74D7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285304"/>
        <c:axId val="1580286744"/>
      </c:scatterChart>
      <c:valAx>
        <c:axId val="1580285304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年龄（岁）</a:t>
                </a:r>
              </a:p>
            </c:rich>
          </c:tx>
          <c:layout>
            <c:manualLayout>
              <c:xMode val="edge"/>
              <c:yMode val="edge"/>
              <c:x val="0.46567893454012566"/>
              <c:y val="0.93844125509803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0286744"/>
        <c:crosses val="autoZero"/>
        <c:crossBetween val="midCat"/>
        <c:majorUnit val="0.5"/>
      </c:valAx>
      <c:valAx>
        <c:axId val="15802867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BMI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4.4642857142857144E-2"/>
              <c:y val="4.199170932138696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028530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607200257152042E-2"/>
          <c:y val="0.96740996888714514"/>
          <c:w val="0.9"/>
          <c:h val="3.2590031112854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1"/>
              <a:t>3-18</a:t>
            </a:r>
            <a:r>
              <a:rPr lang="zh-CN" altLang="en-US" sz="1200" b="1"/>
              <a:t>岁儿童青少年（男）身高、体重百分位曲线图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2989922361653825E-2"/>
          <c:y val="6.1974426273638875E-2"/>
          <c:w val="0.91399516777044554"/>
          <c:h val="0.8518287906319402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'3-18岁儿童青少年（男）身高、体重、BMI'!$C$1</c:f>
              <c:strCache>
                <c:ptCount val="1"/>
                <c:pt idx="0">
                  <c:v>3rd</c:v>
                </c:pt>
              </c:strCache>
            </c:strRef>
          </c:tx>
          <c:spPr>
            <a:ln w="952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'3-18岁儿童青少年（男）身高、体重、BMI'!$C$2:$C$31</c:f>
              <c:numCache>
                <c:formatCode>General</c:formatCode>
                <c:ptCount val="30"/>
                <c:pt idx="0">
                  <c:v>89.7</c:v>
                </c:pt>
                <c:pt idx="1">
                  <c:v>93.4</c:v>
                </c:pt>
                <c:pt idx="2">
                  <c:v>96.7</c:v>
                </c:pt>
                <c:pt idx="3">
                  <c:v>100</c:v>
                </c:pt>
                <c:pt idx="4">
                  <c:v>103.3</c:v>
                </c:pt>
                <c:pt idx="5">
                  <c:v>106.4</c:v>
                </c:pt>
                <c:pt idx="6">
                  <c:v>109.1</c:v>
                </c:pt>
                <c:pt idx="7">
                  <c:v>111.7</c:v>
                </c:pt>
                <c:pt idx="8">
                  <c:v>114.6</c:v>
                </c:pt>
                <c:pt idx="9">
                  <c:v>117.4</c:v>
                </c:pt>
                <c:pt idx="10">
                  <c:v>119.9</c:v>
                </c:pt>
                <c:pt idx="11">
                  <c:v>122.3</c:v>
                </c:pt>
                <c:pt idx="12">
                  <c:v>124.6</c:v>
                </c:pt>
                <c:pt idx="13">
                  <c:v>126.7</c:v>
                </c:pt>
                <c:pt idx="14">
                  <c:v>128.69999999999999</c:v>
                </c:pt>
                <c:pt idx="15">
                  <c:v>130.69999999999999</c:v>
                </c:pt>
                <c:pt idx="16">
                  <c:v>132.9</c:v>
                </c:pt>
                <c:pt idx="17">
                  <c:v>135.30000000000001</c:v>
                </c:pt>
                <c:pt idx="18">
                  <c:v>138.1</c:v>
                </c:pt>
                <c:pt idx="19">
                  <c:v>141.1</c:v>
                </c:pt>
                <c:pt idx="20">
                  <c:v>145</c:v>
                </c:pt>
                <c:pt idx="21">
                  <c:v>148.80000000000001</c:v>
                </c:pt>
                <c:pt idx="22">
                  <c:v>152.30000000000001</c:v>
                </c:pt>
                <c:pt idx="23">
                  <c:v>155.30000000000001</c:v>
                </c:pt>
                <c:pt idx="24">
                  <c:v>157.5</c:v>
                </c:pt>
                <c:pt idx="25">
                  <c:v>159.1</c:v>
                </c:pt>
                <c:pt idx="26">
                  <c:v>159.9</c:v>
                </c:pt>
                <c:pt idx="27">
                  <c:v>160.5</c:v>
                </c:pt>
                <c:pt idx="28">
                  <c:v>160.9</c:v>
                </c:pt>
                <c:pt idx="29">
                  <c:v>161.30000000000001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0D-4114-92F3-A2D4ED795029}"/>
            </c:ext>
          </c:extLst>
        </c:ser>
        <c:ser>
          <c:idx val="2"/>
          <c:order val="1"/>
          <c:tx>
            <c:strRef>
              <c:f>'3-18岁儿童青少年（男）身高、体重、BMI'!$D$1</c:f>
              <c:strCache>
                <c:ptCount val="1"/>
                <c:pt idx="0">
                  <c:v>10th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'3-18岁儿童青少年（男）身高、体重、BMI'!$D$2:$D$31</c:f>
              <c:numCache>
                <c:formatCode>General</c:formatCode>
                <c:ptCount val="30"/>
                <c:pt idx="0">
                  <c:v>91.9</c:v>
                </c:pt>
                <c:pt idx="1">
                  <c:v>95.7</c:v>
                </c:pt>
                <c:pt idx="2">
                  <c:v>99.1</c:v>
                </c:pt>
                <c:pt idx="3">
                  <c:v>102.4</c:v>
                </c:pt>
                <c:pt idx="4">
                  <c:v>105.8</c:v>
                </c:pt>
                <c:pt idx="5">
                  <c:v>109</c:v>
                </c:pt>
                <c:pt idx="6">
                  <c:v>111.8</c:v>
                </c:pt>
                <c:pt idx="7">
                  <c:v>114.5</c:v>
                </c:pt>
                <c:pt idx="8">
                  <c:v>117.6</c:v>
                </c:pt>
                <c:pt idx="9">
                  <c:v>120.5</c:v>
                </c:pt>
                <c:pt idx="10">
                  <c:v>123.1</c:v>
                </c:pt>
                <c:pt idx="11">
                  <c:v>125.6</c:v>
                </c:pt>
                <c:pt idx="12">
                  <c:v>128</c:v>
                </c:pt>
                <c:pt idx="13">
                  <c:v>130.30000000000001</c:v>
                </c:pt>
                <c:pt idx="14">
                  <c:v>132.30000000000001</c:v>
                </c:pt>
                <c:pt idx="15">
                  <c:v>134.5</c:v>
                </c:pt>
                <c:pt idx="16">
                  <c:v>136.80000000000001</c:v>
                </c:pt>
                <c:pt idx="17">
                  <c:v>139.5</c:v>
                </c:pt>
                <c:pt idx="18">
                  <c:v>142.5</c:v>
                </c:pt>
                <c:pt idx="19">
                  <c:v>145.69999999999999</c:v>
                </c:pt>
                <c:pt idx="20">
                  <c:v>149.6</c:v>
                </c:pt>
                <c:pt idx="21">
                  <c:v>153.30000000000001</c:v>
                </c:pt>
                <c:pt idx="22">
                  <c:v>156.69999999999999</c:v>
                </c:pt>
                <c:pt idx="23">
                  <c:v>159.4</c:v>
                </c:pt>
                <c:pt idx="24">
                  <c:v>161.4</c:v>
                </c:pt>
                <c:pt idx="25">
                  <c:v>162.9</c:v>
                </c:pt>
                <c:pt idx="26">
                  <c:v>163.6</c:v>
                </c:pt>
                <c:pt idx="27">
                  <c:v>164.2</c:v>
                </c:pt>
                <c:pt idx="28">
                  <c:v>164.5</c:v>
                </c:pt>
                <c:pt idx="29">
                  <c:v>164.9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0D-4114-92F3-A2D4ED795029}"/>
            </c:ext>
          </c:extLst>
        </c:ser>
        <c:ser>
          <c:idx val="3"/>
          <c:order val="2"/>
          <c:tx>
            <c:strRef>
              <c:f>'3-18岁儿童青少年（男）身高、体重、BMI'!$E$1</c:f>
              <c:strCache>
                <c:ptCount val="1"/>
                <c:pt idx="0">
                  <c:v>25th</c:v>
                </c:pt>
              </c:strCache>
            </c:strRef>
          </c:tx>
          <c:spPr>
            <a:ln w="952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'3-18岁儿童青少年（男）身高、体重、BMI'!$E$2:$E$31</c:f>
              <c:numCache>
                <c:formatCode>General</c:formatCode>
                <c:ptCount val="30"/>
                <c:pt idx="0">
                  <c:v>94.2</c:v>
                </c:pt>
                <c:pt idx="1">
                  <c:v>98</c:v>
                </c:pt>
                <c:pt idx="2">
                  <c:v>101.4</c:v>
                </c:pt>
                <c:pt idx="3">
                  <c:v>104.9</c:v>
                </c:pt>
                <c:pt idx="4">
                  <c:v>108.4</c:v>
                </c:pt>
                <c:pt idx="5">
                  <c:v>111.7</c:v>
                </c:pt>
                <c:pt idx="6">
                  <c:v>114.6</c:v>
                </c:pt>
                <c:pt idx="7">
                  <c:v>117.4</c:v>
                </c:pt>
                <c:pt idx="8">
                  <c:v>120.6</c:v>
                </c:pt>
                <c:pt idx="9">
                  <c:v>123.6</c:v>
                </c:pt>
                <c:pt idx="10">
                  <c:v>126.3</c:v>
                </c:pt>
                <c:pt idx="11">
                  <c:v>129</c:v>
                </c:pt>
                <c:pt idx="12">
                  <c:v>131.4</c:v>
                </c:pt>
                <c:pt idx="13">
                  <c:v>133.9</c:v>
                </c:pt>
                <c:pt idx="14">
                  <c:v>136</c:v>
                </c:pt>
                <c:pt idx="15">
                  <c:v>138.30000000000001</c:v>
                </c:pt>
                <c:pt idx="16">
                  <c:v>140.80000000000001</c:v>
                </c:pt>
                <c:pt idx="17">
                  <c:v>143.69999999999999</c:v>
                </c:pt>
                <c:pt idx="18">
                  <c:v>147</c:v>
                </c:pt>
                <c:pt idx="19">
                  <c:v>150.4</c:v>
                </c:pt>
                <c:pt idx="20">
                  <c:v>154.30000000000001</c:v>
                </c:pt>
                <c:pt idx="21">
                  <c:v>157.9</c:v>
                </c:pt>
                <c:pt idx="22">
                  <c:v>161</c:v>
                </c:pt>
                <c:pt idx="23">
                  <c:v>163.6</c:v>
                </c:pt>
                <c:pt idx="24">
                  <c:v>165.4</c:v>
                </c:pt>
                <c:pt idx="25">
                  <c:v>166.7</c:v>
                </c:pt>
                <c:pt idx="26">
                  <c:v>167.4</c:v>
                </c:pt>
                <c:pt idx="27">
                  <c:v>167.9</c:v>
                </c:pt>
                <c:pt idx="28">
                  <c:v>168.2</c:v>
                </c:pt>
                <c:pt idx="29">
                  <c:v>168.6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0D-4114-92F3-A2D4ED795029}"/>
            </c:ext>
          </c:extLst>
        </c:ser>
        <c:ser>
          <c:idx val="4"/>
          <c:order val="3"/>
          <c:tx>
            <c:strRef>
              <c:f>'3-18岁儿童青少年（男）身高、体重、BMI'!$F$1</c:f>
              <c:strCache>
                <c:ptCount val="1"/>
                <c:pt idx="0">
                  <c:v>50th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'3-18岁儿童青少年（男）身高、体重、BMI'!$F$2:$F$31</c:f>
              <c:numCache>
                <c:formatCode>General</c:formatCode>
                <c:ptCount val="30"/>
                <c:pt idx="0">
                  <c:v>96.8</c:v>
                </c:pt>
                <c:pt idx="1">
                  <c:v>100.6</c:v>
                </c:pt>
                <c:pt idx="2">
                  <c:v>104.1</c:v>
                </c:pt>
                <c:pt idx="3">
                  <c:v>107.7</c:v>
                </c:pt>
                <c:pt idx="4">
                  <c:v>111.3</c:v>
                </c:pt>
                <c:pt idx="5">
                  <c:v>114.7</c:v>
                </c:pt>
                <c:pt idx="6">
                  <c:v>117.7</c:v>
                </c:pt>
                <c:pt idx="7">
                  <c:v>120.7</c:v>
                </c:pt>
                <c:pt idx="8">
                  <c:v>124</c:v>
                </c:pt>
                <c:pt idx="9">
                  <c:v>127.1</c:v>
                </c:pt>
                <c:pt idx="10">
                  <c:v>130</c:v>
                </c:pt>
                <c:pt idx="11">
                  <c:v>132.69999999999999</c:v>
                </c:pt>
                <c:pt idx="12">
                  <c:v>135.4</c:v>
                </c:pt>
                <c:pt idx="13">
                  <c:v>137.9</c:v>
                </c:pt>
                <c:pt idx="14">
                  <c:v>140.19999999999999</c:v>
                </c:pt>
                <c:pt idx="15">
                  <c:v>142.6</c:v>
                </c:pt>
                <c:pt idx="16">
                  <c:v>145.30000000000001</c:v>
                </c:pt>
                <c:pt idx="17">
                  <c:v>148.4</c:v>
                </c:pt>
                <c:pt idx="18">
                  <c:v>151.9</c:v>
                </c:pt>
                <c:pt idx="19">
                  <c:v>155.6</c:v>
                </c:pt>
                <c:pt idx="20">
                  <c:v>159.5</c:v>
                </c:pt>
                <c:pt idx="21">
                  <c:v>163</c:v>
                </c:pt>
                <c:pt idx="22">
                  <c:v>165.9</c:v>
                </c:pt>
                <c:pt idx="23">
                  <c:v>168.2</c:v>
                </c:pt>
                <c:pt idx="24">
                  <c:v>169.8</c:v>
                </c:pt>
                <c:pt idx="25">
                  <c:v>171</c:v>
                </c:pt>
                <c:pt idx="26">
                  <c:v>171.6</c:v>
                </c:pt>
                <c:pt idx="27">
                  <c:v>172.1</c:v>
                </c:pt>
                <c:pt idx="28">
                  <c:v>172.3</c:v>
                </c:pt>
                <c:pt idx="29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0D-4114-92F3-A2D4ED795029}"/>
            </c:ext>
          </c:extLst>
        </c:ser>
        <c:ser>
          <c:idx val="5"/>
          <c:order val="4"/>
          <c:tx>
            <c:strRef>
              <c:f>'3-18岁儿童青少年（男）身高、体重、BMI'!$G$1</c:f>
              <c:strCache>
                <c:ptCount val="1"/>
                <c:pt idx="0">
                  <c:v>75th</c:v>
                </c:pt>
              </c:strCache>
            </c:strRef>
          </c:tx>
          <c:spPr>
            <a:ln w="952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'3-18岁儿童青少年（男）身高、体重、BMI'!$G$2:$G$31</c:f>
              <c:numCache>
                <c:formatCode>General</c:formatCode>
                <c:ptCount val="30"/>
                <c:pt idx="0">
                  <c:v>99.4</c:v>
                </c:pt>
                <c:pt idx="1">
                  <c:v>103.2</c:v>
                </c:pt>
                <c:pt idx="2">
                  <c:v>106.9</c:v>
                </c:pt>
                <c:pt idx="3">
                  <c:v>110.5</c:v>
                </c:pt>
                <c:pt idx="4">
                  <c:v>114.2</c:v>
                </c:pt>
                <c:pt idx="5">
                  <c:v>117.7</c:v>
                </c:pt>
                <c:pt idx="6">
                  <c:v>120.9</c:v>
                </c:pt>
                <c:pt idx="7">
                  <c:v>123.9</c:v>
                </c:pt>
                <c:pt idx="8">
                  <c:v>127.4</c:v>
                </c:pt>
                <c:pt idx="9">
                  <c:v>130.69999999999999</c:v>
                </c:pt>
                <c:pt idx="10">
                  <c:v>133.69999999999999</c:v>
                </c:pt>
                <c:pt idx="11">
                  <c:v>136.6</c:v>
                </c:pt>
                <c:pt idx="12">
                  <c:v>139.30000000000001</c:v>
                </c:pt>
                <c:pt idx="13">
                  <c:v>142</c:v>
                </c:pt>
                <c:pt idx="14">
                  <c:v>144.4</c:v>
                </c:pt>
                <c:pt idx="15">
                  <c:v>147</c:v>
                </c:pt>
                <c:pt idx="16">
                  <c:v>149.9</c:v>
                </c:pt>
                <c:pt idx="17">
                  <c:v>153.1</c:v>
                </c:pt>
                <c:pt idx="18">
                  <c:v>157</c:v>
                </c:pt>
                <c:pt idx="19">
                  <c:v>160.80000000000001</c:v>
                </c:pt>
                <c:pt idx="20">
                  <c:v>164.8</c:v>
                </c:pt>
                <c:pt idx="21">
                  <c:v>168.1</c:v>
                </c:pt>
                <c:pt idx="22">
                  <c:v>170.7</c:v>
                </c:pt>
                <c:pt idx="23">
                  <c:v>172.8</c:v>
                </c:pt>
                <c:pt idx="24">
                  <c:v>174.2</c:v>
                </c:pt>
                <c:pt idx="25">
                  <c:v>175.2</c:v>
                </c:pt>
                <c:pt idx="26">
                  <c:v>175.8</c:v>
                </c:pt>
                <c:pt idx="27">
                  <c:v>176.2</c:v>
                </c:pt>
                <c:pt idx="28">
                  <c:v>176.4</c:v>
                </c:pt>
                <c:pt idx="29">
                  <c:v>176.7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0D-4114-92F3-A2D4ED795029}"/>
            </c:ext>
          </c:extLst>
        </c:ser>
        <c:ser>
          <c:idx val="6"/>
          <c:order val="5"/>
          <c:tx>
            <c:strRef>
              <c:f>'3-18岁儿童青少年（男）身高、体重、BMI'!$H$1</c:f>
              <c:strCache>
                <c:ptCount val="1"/>
                <c:pt idx="0">
                  <c:v>90th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'3-18岁儿童青少年（男）身高、体重、BMI'!$H$2:$H$31</c:f>
              <c:numCache>
                <c:formatCode>General</c:formatCode>
                <c:ptCount val="30"/>
                <c:pt idx="0">
                  <c:v>101.8</c:v>
                </c:pt>
                <c:pt idx="1">
                  <c:v>105.7</c:v>
                </c:pt>
                <c:pt idx="2">
                  <c:v>109.3</c:v>
                </c:pt>
                <c:pt idx="3">
                  <c:v>113.1</c:v>
                </c:pt>
                <c:pt idx="4">
                  <c:v>116.9</c:v>
                </c:pt>
                <c:pt idx="5">
                  <c:v>120.5</c:v>
                </c:pt>
                <c:pt idx="6">
                  <c:v>123.7</c:v>
                </c:pt>
                <c:pt idx="7">
                  <c:v>126.9</c:v>
                </c:pt>
                <c:pt idx="8">
                  <c:v>130.5</c:v>
                </c:pt>
                <c:pt idx="9">
                  <c:v>133.9</c:v>
                </c:pt>
                <c:pt idx="10">
                  <c:v>137.1</c:v>
                </c:pt>
                <c:pt idx="11">
                  <c:v>140.1</c:v>
                </c:pt>
                <c:pt idx="12">
                  <c:v>142.9</c:v>
                </c:pt>
                <c:pt idx="13">
                  <c:v>145.69999999999999</c:v>
                </c:pt>
                <c:pt idx="14">
                  <c:v>148.19999999999999</c:v>
                </c:pt>
                <c:pt idx="15">
                  <c:v>150.9</c:v>
                </c:pt>
                <c:pt idx="16">
                  <c:v>154</c:v>
                </c:pt>
                <c:pt idx="17">
                  <c:v>157.4</c:v>
                </c:pt>
                <c:pt idx="18">
                  <c:v>161.5</c:v>
                </c:pt>
                <c:pt idx="19">
                  <c:v>165.5</c:v>
                </c:pt>
                <c:pt idx="20">
                  <c:v>169.5</c:v>
                </c:pt>
                <c:pt idx="21">
                  <c:v>172.7</c:v>
                </c:pt>
                <c:pt idx="22">
                  <c:v>175.1</c:v>
                </c:pt>
                <c:pt idx="23">
                  <c:v>176.9</c:v>
                </c:pt>
                <c:pt idx="24">
                  <c:v>178.2</c:v>
                </c:pt>
                <c:pt idx="25">
                  <c:v>179.1</c:v>
                </c:pt>
                <c:pt idx="26">
                  <c:v>179.5</c:v>
                </c:pt>
                <c:pt idx="27">
                  <c:v>179.9</c:v>
                </c:pt>
                <c:pt idx="28">
                  <c:v>180.1</c:v>
                </c:pt>
                <c:pt idx="29">
                  <c:v>180.4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80D-4114-92F3-A2D4ED795029}"/>
            </c:ext>
          </c:extLst>
        </c:ser>
        <c:ser>
          <c:idx val="7"/>
          <c:order val="6"/>
          <c:tx>
            <c:strRef>
              <c:f>'3-18岁儿童青少年（男）身高、体重、BMI'!$I$1</c:f>
              <c:strCache>
                <c:ptCount val="1"/>
                <c:pt idx="0">
                  <c:v>97th</c:v>
                </c:pt>
              </c:strCache>
            </c:strRef>
          </c:tx>
          <c:spPr>
            <a:ln w="952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'3-18岁儿童青少年（男）身高、体重、BMI'!$I$2:$I$31</c:f>
              <c:numCache>
                <c:formatCode>General</c:formatCode>
                <c:ptCount val="30"/>
                <c:pt idx="0">
                  <c:v>104.1</c:v>
                </c:pt>
                <c:pt idx="1">
                  <c:v>108.1</c:v>
                </c:pt>
                <c:pt idx="2">
                  <c:v>111.8</c:v>
                </c:pt>
                <c:pt idx="3">
                  <c:v>115.7</c:v>
                </c:pt>
                <c:pt idx="4">
                  <c:v>119.6</c:v>
                </c:pt>
                <c:pt idx="5">
                  <c:v>123.3</c:v>
                </c:pt>
                <c:pt idx="6">
                  <c:v>126.6</c:v>
                </c:pt>
                <c:pt idx="7">
                  <c:v>129.9</c:v>
                </c:pt>
                <c:pt idx="8">
                  <c:v>133.69999999999999</c:v>
                </c:pt>
                <c:pt idx="9">
                  <c:v>137.19999999999999</c:v>
                </c:pt>
                <c:pt idx="10">
                  <c:v>140.4</c:v>
                </c:pt>
                <c:pt idx="11">
                  <c:v>143.6</c:v>
                </c:pt>
                <c:pt idx="12">
                  <c:v>146.5</c:v>
                </c:pt>
                <c:pt idx="13">
                  <c:v>149.4</c:v>
                </c:pt>
                <c:pt idx="14">
                  <c:v>152</c:v>
                </c:pt>
                <c:pt idx="15">
                  <c:v>154.9</c:v>
                </c:pt>
                <c:pt idx="16">
                  <c:v>158.1</c:v>
                </c:pt>
                <c:pt idx="17">
                  <c:v>161.69999999999999</c:v>
                </c:pt>
                <c:pt idx="18">
                  <c:v>166</c:v>
                </c:pt>
                <c:pt idx="19">
                  <c:v>170.2</c:v>
                </c:pt>
                <c:pt idx="20">
                  <c:v>174.2</c:v>
                </c:pt>
                <c:pt idx="21">
                  <c:v>177.2</c:v>
                </c:pt>
                <c:pt idx="22">
                  <c:v>179.4</c:v>
                </c:pt>
                <c:pt idx="23">
                  <c:v>181</c:v>
                </c:pt>
                <c:pt idx="24">
                  <c:v>182</c:v>
                </c:pt>
                <c:pt idx="25">
                  <c:v>182.8</c:v>
                </c:pt>
                <c:pt idx="26">
                  <c:v>183.2</c:v>
                </c:pt>
                <c:pt idx="27">
                  <c:v>183.5</c:v>
                </c:pt>
                <c:pt idx="28">
                  <c:v>183.7</c:v>
                </c:pt>
                <c:pt idx="29">
                  <c:v>183.9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80D-4114-92F3-A2D4ED795029}"/>
            </c:ext>
          </c:extLst>
        </c:ser>
        <c:ser>
          <c:idx val="16"/>
          <c:order val="15"/>
          <c:tx>
            <c:v>测量身高</c:v>
          </c:tx>
          <c:spPr>
            <a:ln w="19050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diamond"/>
            <c:size val="14"/>
            <c:spPr>
              <a:solidFill>
                <a:schemeClr val="tx1">
                  <a:lumMod val="85000"/>
                  <a:lumOff val="15000"/>
                  <a:alpha val="92000"/>
                </a:schemeClr>
              </a:solidFill>
              <a:ln w="952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</c:marker>
          <c:xVal>
            <c:strRef>
              <c:f>'3-18岁儿童青少年（男）身高、体重、BMI'!$X$2:$X$31</c:f>
              <c:strCache>
                <c:ptCount val="5"/>
                <c:pt idx="0">
                  <c:v>48</c:v>
                </c:pt>
                <c:pt idx="1">
                  <c:v>54</c:v>
                </c:pt>
                <c:pt idx="2">
                  <c:v>60</c:v>
                </c:pt>
                <c:pt idx="3">
                  <c:v>66</c:v>
                </c:pt>
                <c:pt idx="4">
                  <c:v>72</c:v>
                </c:pt>
              </c:strCache>
            </c:strRef>
          </c:xVal>
          <c:yVal>
            <c:numRef>
              <c:f>'3-18岁儿童青少年（男）身高、体重、BMI'!$Y$2:$Y$31</c:f>
              <c:numCache>
                <c:formatCode>General</c:formatCode>
                <c:ptCount val="30"/>
                <c:pt idx="0">
                  <c:v>108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EB9-4B8B-BBC6-F59434885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338512"/>
        <c:axId val="1567338872"/>
      </c:scatterChart>
      <c:scatterChart>
        <c:scatterStyle val="smoothMarker"/>
        <c:varyColors val="0"/>
        <c:ser>
          <c:idx val="8"/>
          <c:order val="7"/>
          <c:tx>
            <c:strRef>
              <c:f>'3-18岁儿童青少年（男）身高、体重、BMI'!$J$1</c:f>
              <c:strCache>
                <c:ptCount val="1"/>
                <c:pt idx="0">
                  <c:v>3rd</c:v>
                </c:pt>
              </c:strCache>
            </c:strRef>
          </c:tx>
          <c:spPr>
            <a:ln w="952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'3-18岁儿童青少年（男）身高、体重、BMI'!$J$2:$J$31</c:f>
              <c:numCache>
                <c:formatCode>General</c:formatCode>
                <c:ptCount val="30"/>
                <c:pt idx="0">
                  <c:v>11.94</c:v>
                </c:pt>
                <c:pt idx="1">
                  <c:v>12.73</c:v>
                </c:pt>
                <c:pt idx="2">
                  <c:v>13.52</c:v>
                </c:pt>
                <c:pt idx="3">
                  <c:v>14.37</c:v>
                </c:pt>
                <c:pt idx="4">
                  <c:v>15.26</c:v>
                </c:pt>
                <c:pt idx="5">
                  <c:v>16.09</c:v>
                </c:pt>
                <c:pt idx="6">
                  <c:v>16.8</c:v>
                </c:pt>
                <c:pt idx="7">
                  <c:v>17.53</c:v>
                </c:pt>
                <c:pt idx="8">
                  <c:v>18.48</c:v>
                </c:pt>
                <c:pt idx="9">
                  <c:v>19.43</c:v>
                </c:pt>
                <c:pt idx="10">
                  <c:v>20.32</c:v>
                </c:pt>
                <c:pt idx="11">
                  <c:v>21.18</c:v>
                </c:pt>
                <c:pt idx="12">
                  <c:v>22.04</c:v>
                </c:pt>
                <c:pt idx="13">
                  <c:v>22.95</c:v>
                </c:pt>
                <c:pt idx="14">
                  <c:v>23.89</c:v>
                </c:pt>
                <c:pt idx="15">
                  <c:v>24.96</c:v>
                </c:pt>
                <c:pt idx="16">
                  <c:v>26.21</c:v>
                </c:pt>
                <c:pt idx="17">
                  <c:v>27.59</c:v>
                </c:pt>
                <c:pt idx="18">
                  <c:v>29.09</c:v>
                </c:pt>
                <c:pt idx="19">
                  <c:v>30.74</c:v>
                </c:pt>
                <c:pt idx="20">
                  <c:v>32.82</c:v>
                </c:pt>
                <c:pt idx="21">
                  <c:v>35.03</c:v>
                </c:pt>
                <c:pt idx="22">
                  <c:v>37.36</c:v>
                </c:pt>
                <c:pt idx="23">
                  <c:v>39.53</c:v>
                </c:pt>
                <c:pt idx="24">
                  <c:v>41.43</c:v>
                </c:pt>
                <c:pt idx="25">
                  <c:v>43.05</c:v>
                </c:pt>
                <c:pt idx="26">
                  <c:v>44.28</c:v>
                </c:pt>
                <c:pt idx="27">
                  <c:v>45.3</c:v>
                </c:pt>
                <c:pt idx="28">
                  <c:v>46.04</c:v>
                </c:pt>
                <c:pt idx="29">
                  <c:v>47.01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80D-4114-92F3-A2D4ED795029}"/>
            </c:ext>
          </c:extLst>
        </c:ser>
        <c:ser>
          <c:idx val="9"/>
          <c:order val="8"/>
          <c:tx>
            <c:v>10th</c:v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'3-18岁儿童青少年（男）身高、体重、BMI'!$K$2:$K$31</c:f>
              <c:numCache>
                <c:formatCode>General</c:formatCode>
                <c:ptCount val="30"/>
                <c:pt idx="0">
                  <c:v>12.74</c:v>
                </c:pt>
                <c:pt idx="1">
                  <c:v>13.58</c:v>
                </c:pt>
                <c:pt idx="2">
                  <c:v>14.43</c:v>
                </c:pt>
                <c:pt idx="3">
                  <c:v>15.35</c:v>
                </c:pt>
                <c:pt idx="4">
                  <c:v>16.329999999999998</c:v>
                </c:pt>
                <c:pt idx="5">
                  <c:v>17.260000000000002</c:v>
                </c:pt>
                <c:pt idx="6">
                  <c:v>18.059999999999999</c:v>
                </c:pt>
                <c:pt idx="7">
                  <c:v>18.920000000000002</c:v>
                </c:pt>
                <c:pt idx="8">
                  <c:v>20.04</c:v>
                </c:pt>
                <c:pt idx="9">
                  <c:v>21.17</c:v>
                </c:pt>
                <c:pt idx="10">
                  <c:v>22.24</c:v>
                </c:pt>
                <c:pt idx="11">
                  <c:v>23.28</c:v>
                </c:pt>
                <c:pt idx="12">
                  <c:v>24.31</c:v>
                </c:pt>
                <c:pt idx="13">
                  <c:v>25.42</c:v>
                </c:pt>
                <c:pt idx="14">
                  <c:v>26.55</c:v>
                </c:pt>
                <c:pt idx="15">
                  <c:v>27.83</c:v>
                </c:pt>
                <c:pt idx="16">
                  <c:v>29.33</c:v>
                </c:pt>
                <c:pt idx="17">
                  <c:v>30.97</c:v>
                </c:pt>
                <c:pt idx="18">
                  <c:v>32.770000000000003</c:v>
                </c:pt>
                <c:pt idx="19">
                  <c:v>34.71</c:v>
                </c:pt>
                <c:pt idx="20">
                  <c:v>37.04</c:v>
                </c:pt>
                <c:pt idx="21">
                  <c:v>39.42</c:v>
                </c:pt>
                <c:pt idx="22">
                  <c:v>41.8</c:v>
                </c:pt>
                <c:pt idx="23">
                  <c:v>43.94</c:v>
                </c:pt>
                <c:pt idx="24">
                  <c:v>45.77</c:v>
                </c:pt>
                <c:pt idx="25">
                  <c:v>47.31</c:v>
                </c:pt>
                <c:pt idx="26">
                  <c:v>48.47</c:v>
                </c:pt>
                <c:pt idx="27">
                  <c:v>49.42</c:v>
                </c:pt>
                <c:pt idx="28">
                  <c:v>50.11</c:v>
                </c:pt>
                <c:pt idx="29">
                  <c:v>51.02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80D-4114-92F3-A2D4ED795029}"/>
            </c:ext>
          </c:extLst>
        </c:ser>
        <c:ser>
          <c:idx val="10"/>
          <c:order val="9"/>
          <c:tx>
            <c:strRef>
              <c:f>'3-18岁儿童青少年（男）身高、体重、BMI'!$L$1</c:f>
              <c:strCache>
                <c:ptCount val="1"/>
                <c:pt idx="0">
                  <c:v>25th</c:v>
                </c:pt>
              </c:strCache>
            </c:strRef>
          </c:tx>
          <c:spPr>
            <a:ln w="952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'3-18岁儿童青少年（男）身高、体重、BMI'!$L$2:$L$31</c:f>
              <c:numCache>
                <c:formatCode>General</c:formatCode>
                <c:ptCount val="30"/>
                <c:pt idx="0">
                  <c:v>13.61</c:v>
                </c:pt>
                <c:pt idx="1">
                  <c:v>14.51</c:v>
                </c:pt>
                <c:pt idx="2">
                  <c:v>15.43</c:v>
                </c:pt>
                <c:pt idx="3">
                  <c:v>16.43</c:v>
                </c:pt>
                <c:pt idx="4">
                  <c:v>17.52</c:v>
                </c:pt>
                <c:pt idx="5">
                  <c:v>18.559999999999999</c:v>
                </c:pt>
                <c:pt idx="6">
                  <c:v>19.489999999999998</c:v>
                </c:pt>
                <c:pt idx="7">
                  <c:v>20.49</c:v>
                </c:pt>
                <c:pt idx="8">
                  <c:v>21.81</c:v>
                </c:pt>
                <c:pt idx="9">
                  <c:v>23.16</c:v>
                </c:pt>
                <c:pt idx="10">
                  <c:v>24.46</c:v>
                </c:pt>
                <c:pt idx="11">
                  <c:v>25.73</c:v>
                </c:pt>
                <c:pt idx="12">
                  <c:v>26.98</c:v>
                </c:pt>
                <c:pt idx="13">
                  <c:v>28.31</c:v>
                </c:pt>
                <c:pt idx="14">
                  <c:v>29.66</c:v>
                </c:pt>
                <c:pt idx="15">
                  <c:v>31.2</c:v>
                </c:pt>
                <c:pt idx="16">
                  <c:v>32.97</c:v>
                </c:pt>
                <c:pt idx="17">
                  <c:v>34.909999999999997</c:v>
                </c:pt>
                <c:pt idx="18">
                  <c:v>37.03</c:v>
                </c:pt>
                <c:pt idx="19">
                  <c:v>39.29</c:v>
                </c:pt>
                <c:pt idx="20">
                  <c:v>41.9</c:v>
                </c:pt>
                <c:pt idx="21">
                  <c:v>44.45</c:v>
                </c:pt>
                <c:pt idx="22">
                  <c:v>46.9</c:v>
                </c:pt>
                <c:pt idx="23">
                  <c:v>49</c:v>
                </c:pt>
                <c:pt idx="24">
                  <c:v>50.75</c:v>
                </c:pt>
                <c:pt idx="25">
                  <c:v>52.19</c:v>
                </c:pt>
                <c:pt idx="26">
                  <c:v>53.26</c:v>
                </c:pt>
                <c:pt idx="27">
                  <c:v>54.13</c:v>
                </c:pt>
                <c:pt idx="28">
                  <c:v>54.73</c:v>
                </c:pt>
                <c:pt idx="29">
                  <c:v>55.6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80D-4114-92F3-A2D4ED795029}"/>
            </c:ext>
          </c:extLst>
        </c:ser>
        <c:ser>
          <c:idx val="11"/>
          <c:order val="10"/>
          <c:tx>
            <c:strRef>
              <c:f>'3-18岁儿童青少年（男）身高、体重、BMI'!$M$1</c:f>
              <c:strCache>
                <c:ptCount val="1"/>
                <c:pt idx="0">
                  <c:v>50th</c:v>
                </c:pt>
              </c:strCache>
            </c:strRef>
          </c:tx>
          <c:spPr>
            <a:ln w="95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'3-18岁儿童青少年（男）身高、体重、BMI'!$M$2:$M$31</c:f>
              <c:numCache>
                <c:formatCode>General</c:formatCode>
                <c:ptCount val="30"/>
                <c:pt idx="0">
                  <c:v>14.65</c:v>
                </c:pt>
                <c:pt idx="1">
                  <c:v>15.63</c:v>
                </c:pt>
                <c:pt idx="2">
                  <c:v>16.64</c:v>
                </c:pt>
                <c:pt idx="3">
                  <c:v>17.75</c:v>
                </c:pt>
                <c:pt idx="4">
                  <c:v>18.98</c:v>
                </c:pt>
                <c:pt idx="5">
                  <c:v>20.18</c:v>
                </c:pt>
                <c:pt idx="6">
                  <c:v>21.26</c:v>
                </c:pt>
                <c:pt idx="7">
                  <c:v>22.45</c:v>
                </c:pt>
                <c:pt idx="8">
                  <c:v>24.06</c:v>
                </c:pt>
                <c:pt idx="9">
                  <c:v>25.72</c:v>
                </c:pt>
                <c:pt idx="10">
                  <c:v>27.33</c:v>
                </c:pt>
                <c:pt idx="11">
                  <c:v>28.91</c:v>
                </c:pt>
                <c:pt idx="12">
                  <c:v>30.46</c:v>
                </c:pt>
                <c:pt idx="13">
                  <c:v>32.090000000000003</c:v>
                </c:pt>
                <c:pt idx="14">
                  <c:v>33.74</c:v>
                </c:pt>
                <c:pt idx="15">
                  <c:v>35.58</c:v>
                </c:pt>
                <c:pt idx="16">
                  <c:v>37.69</c:v>
                </c:pt>
                <c:pt idx="17">
                  <c:v>39.979999999999997</c:v>
                </c:pt>
                <c:pt idx="18">
                  <c:v>42.49</c:v>
                </c:pt>
                <c:pt idx="19">
                  <c:v>45.13</c:v>
                </c:pt>
                <c:pt idx="20">
                  <c:v>48.08</c:v>
                </c:pt>
                <c:pt idx="21">
                  <c:v>50.85</c:v>
                </c:pt>
                <c:pt idx="22">
                  <c:v>53.37</c:v>
                </c:pt>
                <c:pt idx="23">
                  <c:v>55.43</c:v>
                </c:pt>
                <c:pt idx="24">
                  <c:v>57.08</c:v>
                </c:pt>
                <c:pt idx="25">
                  <c:v>58.39</c:v>
                </c:pt>
                <c:pt idx="26">
                  <c:v>59.35</c:v>
                </c:pt>
                <c:pt idx="27">
                  <c:v>60.12</c:v>
                </c:pt>
                <c:pt idx="28">
                  <c:v>60.68</c:v>
                </c:pt>
                <c:pt idx="29">
                  <c:v>61.4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80D-4114-92F3-A2D4ED795029}"/>
            </c:ext>
          </c:extLst>
        </c:ser>
        <c:ser>
          <c:idx val="12"/>
          <c:order val="11"/>
          <c:tx>
            <c:strRef>
              <c:f>'3-18岁儿童青少年（男）身高、体重、BMI'!$N$1</c:f>
              <c:strCache>
                <c:ptCount val="1"/>
                <c:pt idx="0">
                  <c:v>75th</c:v>
                </c:pt>
              </c:strCache>
            </c:strRef>
          </c:tx>
          <c:spPr>
            <a:ln w="952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'3-18岁儿童青少年（男）身高、体重、BMI'!$N$2:$N$31</c:f>
              <c:numCache>
                <c:formatCode>General</c:formatCode>
                <c:ptCount val="30"/>
                <c:pt idx="0">
                  <c:v>15.8</c:v>
                </c:pt>
                <c:pt idx="1">
                  <c:v>16.86</c:v>
                </c:pt>
                <c:pt idx="2">
                  <c:v>17.98</c:v>
                </c:pt>
                <c:pt idx="3">
                  <c:v>19.22</c:v>
                </c:pt>
                <c:pt idx="4">
                  <c:v>20.61</c:v>
                </c:pt>
                <c:pt idx="5">
                  <c:v>21.98</c:v>
                </c:pt>
                <c:pt idx="6">
                  <c:v>23.26</c:v>
                </c:pt>
                <c:pt idx="7">
                  <c:v>24.7</c:v>
                </c:pt>
                <c:pt idx="8">
                  <c:v>26.66</c:v>
                </c:pt>
                <c:pt idx="9">
                  <c:v>28.7</c:v>
                </c:pt>
                <c:pt idx="10">
                  <c:v>30.71</c:v>
                </c:pt>
                <c:pt idx="11">
                  <c:v>32.69</c:v>
                </c:pt>
                <c:pt idx="12">
                  <c:v>34.61</c:v>
                </c:pt>
                <c:pt idx="13">
                  <c:v>36.61</c:v>
                </c:pt>
                <c:pt idx="14">
                  <c:v>38.61</c:v>
                </c:pt>
                <c:pt idx="15">
                  <c:v>40.81</c:v>
                </c:pt>
                <c:pt idx="16">
                  <c:v>43.27</c:v>
                </c:pt>
                <c:pt idx="17">
                  <c:v>45.94</c:v>
                </c:pt>
                <c:pt idx="18">
                  <c:v>48.86</c:v>
                </c:pt>
                <c:pt idx="19">
                  <c:v>51.89</c:v>
                </c:pt>
                <c:pt idx="20">
                  <c:v>55.21</c:v>
                </c:pt>
                <c:pt idx="21">
                  <c:v>58.21</c:v>
                </c:pt>
                <c:pt idx="22">
                  <c:v>60.83</c:v>
                </c:pt>
                <c:pt idx="23">
                  <c:v>62.86</c:v>
                </c:pt>
                <c:pt idx="24">
                  <c:v>64.400000000000006</c:v>
                </c:pt>
                <c:pt idx="25">
                  <c:v>65.569999999999993</c:v>
                </c:pt>
                <c:pt idx="26">
                  <c:v>66.400000000000006</c:v>
                </c:pt>
                <c:pt idx="27">
                  <c:v>67.05</c:v>
                </c:pt>
                <c:pt idx="28">
                  <c:v>67.510000000000005</c:v>
                </c:pt>
                <c:pt idx="29">
                  <c:v>68.11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80D-4114-92F3-A2D4ED795029}"/>
            </c:ext>
          </c:extLst>
        </c:ser>
        <c:ser>
          <c:idx val="13"/>
          <c:order val="12"/>
          <c:tx>
            <c:strRef>
              <c:f>'3-18岁儿童青少年（男）身高、体重、BMI'!$O$1</c:f>
              <c:strCache>
                <c:ptCount val="1"/>
                <c:pt idx="0">
                  <c:v>90th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'3-18岁儿童青少年（男）身高、体重、BMI'!$O$2:$O$31</c:f>
              <c:numCache>
                <c:formatCode>General</c:formatCode>
                <c:ptCount val="30"/>
                <c:pt idx="0">
                  <c:v>16.920000000000002</c:v>
                </c:pt>
                <c:pt idx="1">
                  <c:v>18.079999999999998</c:v>
                </c:pt>
                <c:pt idx="2">
                  <c:v>19.29</c:v>
                </c:pt>
                <c:pt idx="3">
                  <c:v>20.67</c:v>
                </c:pt>
                <c:pt idx="4">
                  <c:v>22.23</c:v>
                </c:pt>
                <c:pt idx="5">
                  <c:v>23.81</c:v>
                </c:pt>
                <c:pt idx="6">
                  <c:v>25.29</c:v>
                </c:pt>
                <c:pt idx="7">
                  <c:v>27</c:v>
                </c:pt>
                <c:pt idx="8">
                  <c:v>29.35</c:v>
                </c:pt>
                <c:pt idx="9">
                  <c:v>31.84</c:v>
                </c:pt>
                <c:pt idx="10">
                  <c:v>34.31</c:v>
                </c:pt>
                <c:pt idx="11">
                  <c:v>36.74</c:v>
                </c:pt>
                <c:pt idx="12">
                  <c:v>39.08</c:v>
                </c:pt>
                <c:pt idx="13">
                  <c:v>41.49</c:v>
                </c:pt>
                <c:pt idx="14">
                  <c:v>43.85</c:v>
                </c:pt>
                <c:pt idx="15">
                  <c:v>46.4</c:v>
                </c:pt>
                <c:pt idx="16">
                  <c:v>49.2</c:v>
                </c:pt>
                <c:pt idx="17">
                  <c:v>52.21</c:v>
                </c:pt>
                <c:pt idx="18">
                  <c:v>55.5</c:v>
                </c:pt>
                <c:pt idx="19">
                  <c:v>58.9</c:v>
                </c:pt>
                <c:pt idx="20">
                  <c:v>62.57</c:v>
                </c:pt>
                <c:pt idx="21">
                  <c:v>65.8</c:v>
                </c:pt>
                <c:pt idx="22">
                  <c:v>68.53</c:v>
                </c:pt>
                <c:pt idx="23">
                  <c:v>70.55</c:v>
                </c:pt>
                <c:pt idx="24">
                  <c:v>72</c:v>
                </c:pt>
                <c:pt idx="25">
                  <c:v>73.03</c:v>
                </c:pt>
                <c:pt idx="26">
                  <c:v>73.73</c:v>
                </c:pt>
                <c:pt idx="27">
                  <c:v>74.25</c:v>
                </c:pt>
                <c:pt idx="28">
                  <c:v>74.62</c:v>
                </c:pt>
                <c:pt idx="29">
                  <c:v>75.08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80D-4114-92F3-A2D4ED795029}"/>
            </c:ext>
          </c:extLst>
        </c:ser>
        <c:ser>
          <c:idx val="14"/>
          <c:order val="13"/>
          <c:tx>
            <c:strRef>
              <c:f>'3-18岁儿童青少年（男）身高、体重、BMI'!$P$1</c:f>
              <c:strCache>
                <c:ptCount val="1"/>
                <c:pt idx="0">
                  <c:v>97th</c:v>
                </c:pt>
              </c:strCache>
            </c:strRef>
          </c:tx>
          <c:spPr>
            <a:ln w="952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'3-18岁儿童青少年（男）身高、体重、BMI'!$P$2:$P$31</c:f>
              <c:numCache>
                <c:formatCode>General</c:formatCode>
                <c:ptCount val="30"/>
                <c:pt idx="0">
                  <c:v>18.12</c:v>
                </c:pt>
                <c:pt idx="1">
                  <c:v>19.38</c:v>
                </c:pt>
                <c:pt idx="2">
                  <c:v>20.71</c:v>
                </c:pt>
                <c:pt idx="3">
                  <c:v>22.24</c:v>
                </c:pt>
                <c:pt idx="4">
                  <c:v>24</c:v>
                </c:pt>
                <c:pt idx="5">
                  <c:v>25.81</c:v>
                </c:pt>
                <c:pt idx="6">
                  <c:v>27.55</c:v>
                </c:pt>
                <c:pt idx="7">
                  <c:v>29.57</c:v>
                </c:pt>
                <c:pt idx="8">
                  <c:v>32.409999999999997</c:v>
                </c:pt>
                <c:pt idx="9">
                  <c:v>35.450000000000003</c:v>
                </c:pt>
                <c:pt idx="10">
                  <c:v>38.49</c:v>
                </c:pt>
                <c:pt idx="11">
                  <c:v>41.49</c:v>
                </c:pt>
                <c:pt idx="12">
                  <c:v>44.35</c:v>
                </c:pt>
                <c:pt idx="13">
                  <c:v>47.24</c:v>
                </c:pt>
                <c:pt idx="14">
                  <c:v>50.01</c:v>
                </c:pt>
                <c:pt idx="15">
                  <c:v>52.93</c:v>
                </c:pt>
                <c:pt idx="16">
                  <c:v>56.07</c:v>
                </c:pt>
                <c:pt idx="17">
                  <c:v>59.4</c:v>
                </c:pt>
                <c:pt idx="18">
                  <c:v>63.04</c:v>
                </c:pt>
                <c:pt idx="19">
                  <c:v>66.81</c:v>
                </c:pt>
                <c:pt idx="20">
                  <c:v>70.83</c:v>
                </c:pt>
                <c:pt idx="21">
                  <c:v>74.33</c:v>
                </c:pt>
                <c:pt idx="22">
                  <c:v>77.2</c:v>
                </c:pt>
                <c:pt idx="23">
                  <c:v>79.239999999999995</c:v>
                </c:pt>
                <c:pt idx="24">
                  <c:v>80.599999999999994</c:v>
                </c:pt>
                <c:pt idx="25">
                  <c:v>81.489999999999995</c:v>
                </c:pt>
                <c:pt idx="26">
                  <c:v>82.05</c:v>
                </c:pt>
                <c:pt idx="27">
                  <c:v>82.44</c:v>
                </c:pt>
                <c:pt idx="28">
                  <c:v>82.7</c:v>
                </c:pt>
                <c:pt idx="29">
                  <c:v>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80D-4114-92F3-A2D4ED795029}"/>
            </c:ext>
          </c:extLst>
        </c:ser>
        <c:ser>
          <c:idx val="0"/>
          <c:order val="14"/>
          <c:tx>
            <c:v>X轴年龄显示</c:v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'3-18岁儿童青少年（男）身高、体重、BMI'!$B$2:$B$31</c:f>
              <c:numCache>
                <c:formatCode>General</c:formatCode>
                <c:ptCount val="30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90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  <c:pt idx="13">
                  <c:v>114</c:v>
                </c:pt>
                <c:pt idx="14">
                  <c:v>120</c:v>
                </c:pt>
                <c:pt idx="15">
                  <c:v>126</c:v>
                </c:pt>
                <c:pt idx="16">
                  <c:v>132</c:v>
                </c:pt>
                <c:pt idx="17">
                  <c:v>138</c:v>
                </c:pt>
                <c:pt idx="18">
                  <c:v>144</c:v>
                </c:pt>
                <c:pt idx="19">
                  <c:v>150</c:v>
                </c:pt>
                <c:pt idx="20">
                  <c:v>156</c:v>
                </c:pt>
                <c:pt idx="21">
                  <c:v>162</c:v>
                </c:pt>
                <c:pt idx="22">
                  <c:v>168</c:v>
                </c:pt>
                <c:pt idx="23">
                  <c:v>174</c:v>
                </c:pt>
                <c:pt idx="24">
                  <c:v>180</c:v>
                </c:pt>
                <c:pt idx="25">
                  <c:v>186</c:v>
                </c:pt>
                <c:pt idx="26">
                  <c:v>192</c:v>
                </c:pt>
                <c:pt idx="27">
                  <c:v>198</c:v>
                </c:pt>
                <c:pt idx="28">
                  <c:v>204</c:v>
                </c:pt>
                <c:pt idx="29">
                  <c:v>216</c:v>
                </c:pt>
              </c:numCache>
            </c:numRef>
          </c:xVal>
          <c:yVal>
            <c:numRef>
              <c:f>'3-18岁儿童青少年（男）身高、体重、BMI'!$A$2:$A$31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B9-4B8B-BBC6-F5943488552D}"/>
            </c:ext>
          </c:extLst>
        </c:ser>
        <c:ser>
          <c:idx val="15"/>
          <c:order val="16"/>
          <c:tx>
            <c:v>测量体重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'3-18岁儿童青少年（男）身高、体重、BMI'!$X$2:$X$31</c:f>
              <c:strCache>
                <c:ptCount val="5"/>
                <c:pt idx="0">
                  <c:v>48</c:v>
                </c:pt>
                <c:pt idx="1">
                  <c:v>54</c:v>
                </c:pt>
                <c:pt idx="2">
                  <c:v>60</c:v>
                </c:pt>
                <c:pt idx="3">
                  <c:v>66</c:v>
                </c:pt>
                <c:pt idx="4">
                  <c:v>72</c:v>
                </c:pt>
              </c:strCache>
            </c:strRef>
          </c:xVal>
          <c:yVal>
            <c:numRef>
              <c:f>'3-18岁儿童青少年（男）身高、体重、BMI'!$Z$2:$Z$31</c:f>
              <c:numCache>
                <c:formatCode>General</c:formatCode>
                <c:ptCount val="30"/>
                <c:pt idx="0">
                  <c:v>17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EB9-4B8B-BBC6-F59434885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355432"/>
        <c:axId val="1567353632"/>
      </c:scatterChart>
      <c:valAx>
        <c:axId val="1567338512"/>
        <c:scaling>
          <c:orientation val="minMax"/>
          <c:min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/>
                  <a:t>年龄（岁）</a:t>
                </a:r>
              </a:p>
            </c:rich>
          </c:tx>
          <c:layout>
            <c:manualLayout>
              <c:xMode val="edge"/>
              <c:yMode val="edge"/>
              <c:x val="0.47000249875062466"/>
              <c:y val="0.94457244767480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7338872"/>
        <c:crosses val="autoZero"/>
        <c:crossBetween val="midCat"/>
        <c:majorUnit val="12"/>
      </c:valAx>
      <c:valAx>
        <c:axId val="1567338872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/>
                  <a:t>身高（</a:t>
                </a:r>
                <a:r>
                  <a:rPr lang="en-US" altLang="zh-CN" sz="900"/>
                  <a:t>CM</a:t>
                </a:r>
                <a:r>
                  <a:rPr lang="zh-CN" altLang="en-US" sz="900"/>
                  <a:t>）</a:t>
                </a:r>
              </a:p>
            </c:rich>
          </c:tx>
          <c:layout>
            <c:manualLayout>
              <c:xMode val="edge"/>
              <c:yMode val="edge"/>
              <c:x val="3.7481259370314844E-2"/>
              <c:y val="2.75896089911837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7338512"/>
        <c:crosses val="autoZero"/>
        <c:crossBetween val="midCat"/>
        <c:majorUnit val="5"/>
      </c:valAx>
      <c:valAx>
        <c:axId val="1567353632"/>
        <c:scaling>
          <c:orientation val="minMax"/>
          <c:max val="140"/>
          <c:min val="5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/>
                  <a:t>体重（</a:t>
                </a:r>
                <a:r>
                  <a:rPr lang="en-US" altLang="zh-CN" sz="900"/>
                  <a:t>Kg</a:t>
                </a:r>
                <a:r>
                  <a:rPr lang="zh-CN" altLang="en-US" sz="900"/>
                  <a:t>）</a:t>
                </a:r>
              </a:p>
            </c:rich>
          </c:tx>
          <c:layout>
            <c:manualLayout>
              <c:xMode val="edge"/>
              <c:yMode val="edge"/>
              <c:x val="0.90392303848075961"/>
              <c:y val="3.10084124099872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7355432"/>
        <c:crosses val="max"/>
        <c:crossBetween val="midCat"/>
        <c:majorUnit val="5"/>
      </c:valAx>
      <c:valAx>
        <c:axId val="1567355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7353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760619690154924E-2"/>
          <c:y val="0.96089723399959626"/>
          <c:w val="0.94747626186906542"/>
          <c:h val="2.8846355743993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1" i="0" u="none" strike="noStrike" kern="1200" spc="0" baseline="0">
                <a:solidFill>
                  <a:sysClr val="windowText" lastClr="000000"/>
                </a:solidFill>
              </a:rPr>
              <a:t>中国</a:t>
            </a:r>
            <a:r>
              <a:rPr lang="en-US" altLang="zh-CN" sz="1200" b="1" i="0" u="none" strike="noStrike" kern="1200" spc="0" baseline="0">
                <a:solidFill>
                  <a:sysClr val="windowText" lastClr="000000"/>
                </a:solidFill>
              </a:rPr>
              <a:t>0-3</a:t>
            </a:r>
            <a:r>
              <a:rPr lang="zh-CN" altLang="en-US" sz="1200" b="1" i="0" u="none" strike="noStrike" kern="1200" spc="0" baseline="0">
                <a:solidFill>
                  <a:sysClr val="windowText" lastClr="000000"/>
                </a:solidFill>
              </a:rPr>
              <a:t>岁儿童（女）身长、体重百分位曲线图</a:t>
            </a:r>
            <a:endParaRPr lang="en-US" altLang="zh-CN" sz="12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174449572308135"/>
          <c:y val="8.3365509991610479E-2"/>
          <c:w val="0.87381276522677653"/>
          <c:h val="0.84629833658469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'0-3岁儿童（女）身高、体重、BMI'!$C$1</c:f>
              <c:strCache>
                <c:ptCount val="1"/>
                <c:pt idx="0">
                  <c:v>3rd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'0-3岁儿童（女）身高、体重、BMI'!$C$2:$C$13</c:f>
              <c:numCache>
                <c:formatCode>General</c:formatCode>
                <c:ptCount val="12"/>
                <c:pt idx="0">
                  <c:v>46.6</c:v>
                </c:pt>
                <c:pt idx="1">
                  <c:v>53.4</c:v>
                </c:pt>
                <c:pt idx="2">
                  <c:v>59.1</c:v>
                </c:pt>
                <c:pt idx="3">
                  <c:v>62.5</c:v>
                </c:pt>
                <c:pt idx="4">
                  <c:v>66.400000000000006</c:v>
                </c:pt>
                <c:pt idx="5">
                  <c:v>70</c:v>
                </c:pt>
                <c:pt idx="6">
                  <c:v>73.2</c:v>
                </c:pt>
                <c:pt idx="7">
                  <c:v>76</c:v>
                </c:pt>
                <c:pt idx="8">
                  <c:v>78.5</c:v>
                </c:pt>
                <c:pt idx="9">
                  <c:v>80.900000000000006</c:v>
                </c:pt>
                <c:pt idx="10">
                  <c:v>85.2</c:v>
                </c:pt>
                <c:pt idx="11">
                  <c:v>88.6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6-4A47-97C4-8CE430CEB08F}"/>
            </c:ext>
          </c:extLst>
        </c:ser>
        <c:ser>
          <c:idx val="1"/>
          <c:order val="1"/>
          <c:tx>
            <c:strRef>
              <c:f>'0-3岁儿童（女）身高、体重、BMI'!$D$1</c:f>
              <c:strCache>
                <c:ptCount val="1"/>
                <c:pt idx="0">
                  <c:v>10th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'0-3岁儿童（女）身高、体重、BMI'!$D$2:$D$13</c:f>
              <c:numCache>
                <c:formatCode>General</c:formatCode>
                <c:ptCount val="12"/>
                <c:pt idx="0">
                  <c:v>47.5</c:v>
                </c:pt>
                <c:pt idx="1">
                  <c:v>54.7</c:v>
                </c:pt>
                <c:pt idx="2">
                  <c:v>60.3</c:v>
                </c:pt>
                <c:pt idx="3">
                  <c:v>63.9</c:v>
                </c:pt>
                <c:pt idx="4">
                  <c:v>67.8</c:v>
                </c:pt>
                <c:pt idx="5">
                  <c:v>71.599999999999994</c:v>
                </c:pt>
                <c:pt idx="6">
                  <c:v>74.900000000000006</c:v>
                </c:pt>
                <c:pt idx="7">
                  <c:v>77.7</c:v>
                </c:pt>
                <c:pt idx="8">
                  <c:v>80.400000000000006</c:v>
                </c:pt>
                <c:pt idx="9">
                  <c:v>82.9</c:v>
                </c:pt>
                <c:pt idx="10">
                  <c:v>87.4</c:v>
                </c:pt>
                <c:pt idx="11">
                  <c:v>90.8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C6-4A47-97C4-8CE430CEB08F}"/>
            </c:ext>
          </c:extLst>
        </c:ser>
        <c:ser>
          <c:idx val="2"/>
          <c:order val="2"/>
          <c:tx>
            <c:strRef>
              <c:f>'0-3岁儿童（女）身高、体重、BMI'!$E$1</c:f>
              <c:strCache>
                <c:ptCount val="1"/>
                <c:pt idx="0">
                  <c:v>25th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'0-3岁儿童（女）身高、体重、BMI'!$E$2:$E$13</c:f>
              <c:numCache>
                <c:formatCode>General</c:formatCode>
                <c:ptCount val="12"/>
                <c:pt idx="0">
                  <c:v>48.6</c:v>
                </c:pt>
                <c:pt idx="1">
                  <c:v>56</c:v>
                </c:pt>
                <c:pt idx="2">
                  <c:v>61.7</c:v>
                </c:pt>
                <c:pt idx="3">
                  <c:v>65.2</c:v>
                </c:pt>
                <c:pt idx="4">
                  <c:v>69.3</c:v>
                </c:pt>
                <c:pt idx="5">
                  <c:v>73.2</c:v>
                </c:pt>
                <c:pt idx="6">
                  <c:v>76.599999999999994</c:v>
                </c:pt>
                <c:pt idx="7">
                  <c:v>79.5</c:v>
                </c:pt>
                <c:pt idx="8">
                  <c:v>82.3</c:v>
                </c:pt>
                <c:pt idx="9">
                  <c:v>84.9</c:v>
                </c:pt>
                <c:pt idx="10">
                  <c:v>89.6</c:v>
                </c:pt>
                <c:pt idx="11">
                  <c:v>93.1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C6-4A47-97C4-8CE430CEB08F}"/>
            </c:ext>
          </c:extLst>
        </c:ser>
        <c:ser>
          <c:idx val="3"/>
          <c:order val="3"/>
          <c:tx>
            <c:strRef>
              <c:f>'0-3岁儿童（女）身高、体重、BMI'!$F$1</c:f>
              <c:strCache>
                <c:ptCount val="1"/>
                <c:pt idx="0">
                  <c:v>50th</c:v>
                </c:pt>
              </c:strCache>
            </c:strRef>
          </c:tx>
          <c:spPr>
            <a:ln w="127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'0-3岁儿童（女）身高、体重、BMI'!$F$2:$F$13</c:f>
              <c:numCache>
                <c:formatCode>General</c:formatCode>
                <c:ptCount val="12"/>
                <c:pt idx="0">
                  <c:v>49.7</c:v>
                </c:pt>
                <c:pt idx="1">
                  <c:v>57.4</c:v>
                </c:pt>
                <c:pt idx="2">
                  <c:v>63.1</c:v>
                </c:pt>
                <c:pt idx="3">
                  <c:v>66.8</c:v>
                </c:pt>
                <c:pt idx="4">
                  <c:v>71</c:v>
                </c:pt>
                <c:pt idx="5">
                  <c:v>75</c:v>
                </c:pt>
                <c:pt idx="6">
                  <c:v>78.5</c:v>
                </c:pt>
                <c:pt idx="7">
                  <c:v>81.5</c:v>
                </c:pt>
                <c:pt idx="8">
                  <c:v>84.4</c:v>
                </c:pt>
                <c:pt idx="9">
                  <c:v>87.2</c:v>
                </c:pt>
                <c:pt idx="10">
                  <c:v>92.1</c:v>
                </c:pt>
                <c:pt idx="11">
                  <c:v>95.6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C6-4A47-97C4-8CE430CEB08F}"/>
            </c:ext>
          </c:extLst>
        </c:ser>
        <c:ser>
          <c:idx val="4"/>
          <c:order val="4"/>
          <c:tx>
            <c:strRef>
              <c:f>'0-3岁儿童（女）身高、体重、BMI'!$G$1</c:f>
              <c:strCache>
                <c:ptCount val="1"/>
                <c:pt idx="0">
                  <c:v>75th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'0-3岁儿童（女）身高、体重、BMI'!$G$2:$G$13</c:f>
              <c:numCache>
                <c:formatCode>General</c:formatCode>
                <c:ptCount val="12"/>
                <c:pt idx="0">
                  <c:v>50.9</c:v>
                </c:pt>
                <c:pt idx="1">
                  <c:v>58.9</c:v>
                </c:pt>
                <c:pt idx="2">
                  <c:v>64.599999999999994</c:v>
                </c:pt>
                <c:pt idx="3">
                  <c:v>68.400000000000006</c:v>
                </c:pt>
                <c:pt idx="4">
                  <c:v>72.8</c:v>
                </c:pt>
                <c:pt idx="5">
                  <c:v>76.8</c:v>
                </c:pt>
                <c:pt idx="6">
                  <c:v>80.400000000000006</c:v>
                </c:pt>
                <c:pt idx="7">
                  <c:v>83.6</c:v>
                </c:pt>
                <c:pt idx="8">
                  <c:v>86.6</c:v>
                </c:pt>
                <c:pt idx="9">
                  <c:v>89.6</c:v>
                </c:pt>
                <c:pt idx="10">
                  <c:v>94.6</c:v>
                </c:pt>
                <c:pt idx="11">
                  <c:v>98.2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C6-4A47-97C4-8CE430CEB08F}"/>
            </c:ext>
          </c:extLst>
        </c:ser>
        <c:ser>
          <c:idx val="5"/>
          <c:order val="5"/>
          <c:tx>
            <c:strRef>
              <c:f>'0-3岁儿童（女）身高、体重、BMI'!$H$1</c:f>
              <c:strCache>
                <c:ptCount val="1"/>
                <c:pt idx="0">
                  <c:v>90th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'0-3岁儿童（女）身高、体重、BMI'!$H$2:$H$13</c:f>
              <c:numCache>
                <c:formatCode>General</c:formatCode>
                <c:ptCount val="12"/>
                <c:pt idx="0">
                  <c:v>51.9</c:v>
                </c:pt>
                <c:pt idx="1">
                  <c:v>60.2</c:v>
                </c:pt>
                <c:pt idx="2">
                  <c:v>66</c:v>
                </c:pt>
                <c:pt idx="3">
                  <c:v>69.8</c:v>
                </c:pt>
                <c:pt idx="4">
                  <c:v>74.3</c:v>
                </c:pt>
                <c:pt idx="5">
                  <c:v>78.5</c:v>
                </c:pt>
                <c:pt idx="6">
                  <c:v>82.2</c:v>
                </c:pt>
                <c:pt idx="7">
                  <c:v>85.5</c:v>
                </c:pt>
                <c:pt idx="8">
                  <c:v>88.6</c:v>
                </c:pt>
                <c:pt idx="9">
                  <c:v>91.7</c:v>
                </c:pt>
                <c:pt idx="10">
                  <c:v>97</c:v>
                </c:pt>
                <c:pt idx="11">
                  <c:v>100.5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7C6-4A47-97C4-8CE430CEB08F}"/>
            </c:ext>
          </c:extLst>
        </c:ser>
        <c:ser>
          <c:idx val="6"/>
          <c:order val="6"/>
          <c:tx>
            <c:strRef>
              <c:f>'0-3岁儿童（女）身高、体重、BMI'!$I$1</c:f>
              <c:strCache>
                <c:ptCount val="1"/>
                <c:pt idx="0">
                  <c:v>97th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'0-3岁儿童（女）身高、体重、BMI'!$I$2:$I$13</c:f>
              <c:numCache>
                <c:formatCode>General</c:formatCode>
                <c:ptCount val="12"/>
                <c:pt idx="0">
                  <c:v>53</c:v>
                </c:pt>
                <c:pt idx="1">
                  <c:v>61.6</c:v>
                </c:pt>
                <c:pt idx="2">
                  <c:v>67.400000000000006</c:v>
                </c:pt>
                <c:pt idx="3">
                  <c:v>71.2</c:v>
                </c:pt>
                <c:pt idx="4">
                  <c:v>75.900000000000006</c:v>
                </c:pt>
                <c:pt idx="5">
                  <c:v>80.2</c:v>
                </c:pt>
                <c:pt idx="6">
                  <c:v>84</c:v>
                </c:pt>
                <c:pt idx="7">
                  <c:v>87.4</c:v>
                </c:pt>
                <c:pt idx="8">
                  <c:v>90.7</c:v>
                </c:pt>
                <c:pt idx="9">
                  <c:v>93.9</c:v>
                </c:pt>
                <c:pt idx="10">
                  <c:v>99.3</c:v>
                </c:pt>
                <c:pt idx="11">
                  <c:v>102.9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7C6-4A47-97C4-8CE430CEB08F}"/>
            </c:ext>
          </c:extLst>
        </c:ser>
        <c:ser>
          <c:idx val="15"/>
          <c:order val="14"/>
          <c:tx>
            <c:v>测量身高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6.7868268802848242E-2"/>
                  <c:y val="2.2321428571428572E-2"/>
                </c:manualLayout>
              </c:layout>
              <c:tx>
                <c:rich>
                  <a:bodyPr/>
                  <a:lstStyle/>
                  <a:p>
                    <a:fld id="{2C686C7E-2D84-465C-A56D-1A57A7DF2D59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4AE95AAD-292F-401F-A694-B36A575B9599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7CD34A32-D910-4963-BFE3-0B330249A103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670-47A1-8A63-EEECBD58A376}"/>
                </c:ext>
              </c:extLst>
            </c:dLbl>
            <c:dLbl>
              <c:idx val="1"/>
              <c:layout>
                <c:manualLayout>
                  <c:x val="-2.5589675122385403E-2"/>
                  <c:y val="-0.12834821428571433"/>
                </c:manualLayout>
              </c:layout>
              <c:tx>
                <c:rich>
                  <a:bodyPr/>
                  <a:lstStyle/>
                  <a:p>
                    <a:fld id="{4CF38A88-F116-4A88-943C-758AAF2993DA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2FCC5DBC-A57A-4FB4-A020-89EEE5347B5E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B89C9263-F378-4136-9E41-4FC56E41032D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670-47A1-8A63-EEECBD58A376}"/>
                </c:ext>
              </c:extLst>
            </c:dLbl>
            <c:dLbl>
              <c:idx val="2"/>
              <c:layout>
                <c:manualLayout>
                  <c:x val="-3.4490431686693371E-2"/>
                  <c:y val="-9.3005952380952384E-2"/>
                </c:manualLayout>
              </c:layout>
              <c:tx>
                <c:rich>
                  <a:bodyPr/>
                  <a:lstStyle/>
                  <a:p>
                    <a:fld id="{E47D1211-174F-4708-A528-79B92EE7AA05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7E0E503A-5288-45ED-BDE4-FEF7710F4068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D805A349-9300-4CE2-9A88-A614A9261B5F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670-47A1-8A63-EEECBD58A376}"/>
                </c:ext>
              </c:extLst>
            </c:dLbl>
            <c:dLbl>
              <c:idx val="3"/>
              <c:layout>
                <c:manualLayout>
                  <c:x val="-7.7881619937694616E-2"/>
                  <c:y val="-7.4404761904761904E-2"/>
                </c:manualLayout>
              </c:layout>
              <c:tx>
                <c:rich>
                  <a:bodyPr/>
                  <a:lstStyle/>
                  <a:p>
                    <a:fld id="{9D2F73CE-A5AD-46F6-A963-9935FE3C3848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5D5C42CC-F949-4CDE-B42A-6C66241B2EAD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82834931-6549-4B0F-B213-12170AE7F779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670-47A1-8A63-EEECBD58A376}"/>
                </c:ext>
              </c:extLst>
            </c:dLbl>
            <c:dLbl>
              <c:idx val="4"/>
              <c:layout>
                <c:manualLayout>
                  <c:x val="-5.3404539385847799E-2"/>
                  <c:y val="-0.10230654761904762"/>
                </c:manualLayout>
              </c:layout>
              <c:tx>
                <c:rich>
                  <a:bodyPr/>
                  <a:lstStyle/>
                  <a:p>
                    <a:fld id="{A59E9FD5-CBCB-4B17-9E7E-4CD5A8F7DD99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A99F1448-42BA-4B0F-B12B-2332BD1DA867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53D5A716-07D8-4C84-9ED9-7713CF3DED37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670-47A1-8A63-EEECBD58A376}"/>
                </c:ext>
              </c:extLst>
            </c:dLbl>
            <c:dLbl>
              <c:idx val="5"/>
              <c:layout>
                <c:manualLayout>
                  <c:x val="-7.7881619937694704E-3"/>
                  <c:y val="-7.2544642857142835E-2"/>
                </c:manualLayout>
              </c:layout>
              <c:tx>
                <c:rich>
                  <a:bodyPr/>
                  <a:lstStyle/>
                  <a:p>
                    <a:fld id="{43191623-2039-4F26-9725-1E40AEDE5774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84F58F59-4DC9-4B97-8B46-51B57773FD13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2BE4FB59-1C72-4C52-BD29-5AA92A3C7E7E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670-47A1-8A63-EEECBD58A37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670-47A1-8A63-EEECBD58A37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670-47A1-8A63-EEECBD58A37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670-47A1-8A63-EEECBD58A37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670-47A1-8A63-EEECBD58A37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670-47A1-8A63-EEECBD58A37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670-47A1-8A63-EEECBD58A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round/>
                      <a:headEnd type="diamond" w="sm" len="sm"/>
                    </a:ln>
                    <a:effectLst/>
                  </c:spPr>
                </c15:leaderLines>
              </c:ext>
            </c:extLst>
          </c:dLbls>
          <c:xVal>
            <c:numRef>
              <c:f>'0-3岁儿童（女）身高、体重、BMI'!$X$2:$X$13</c:f>
              <c:numCache>
                <c:formatCode>General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xVal>
          <c:yVal>
            <c:numRef>
              <c:f>'0-3岁儿童（女）身高、体重、BMI'!$Y$2:$Y$13</c:f>
              <c:numCache>
                <c:formatCode>General</c:formatCode>
                <c:ptCount val="12"/>
                <c:pt idx="0">
                  <c:v>57</c:v>
                </c:pt>
                <c:pt idx="1">
                  <c:v>67</c:v>
                </c:pt>
                <c:pt idx="2">
                  <c:v>76</c:v>
                </c:pt>
                <c:pt idx="3">
                  <c:v>88</c:v>
                </c:pt>
                <c:pt idx="4">
                  <c:v>92</c:v>
                </c:pt>
                <c:pt idx="5">
                  <c:v>97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'0-3岁儿童（女）身高、体重、BMI'!$T$2:$T$13</c15:f>
                <c15:dlblRangeCache>
                  <c:ptCount val="12"/>
                  <c:pt idx="0">
                    <c:v>2月</c:v>
                  </c:pt>
                  <c:pt idx="1">
                    <c:v>6月</c:v>
                  </c:pt>
                  <c:pt idx="2">
                    <c:v>12月</c:v>
                  </c:pt>
                  <c:pt idx="3">
                    <c:v>2岁</c:v>
                  </c:pt>
                  <c:pt idx="4">
                    <c:v>2.5岁</c:v>
                  </c:pt>
                  <c:pt idx="5">
                    <c:v>3岁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670-47A1-8A63-EEECBD58A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779032"/>
        <c:axId val="653779392"/>
      </c:scatterChart>
      <c:scatterChart>
        <c:scatterStyle val="smoothMarker"/>
        <c:varyColors val="0"/>
        <c:ser>
          <c:idx val="7"/>
          <c:order val="7"/>
          <c:tx>
            <c:strRef>
              <c:f>'0-3岁儿童（女）身高、体重、BMI'!$J$1</c:f>
              <c:strCache>
                <c:ptCount val="1"/>
                <c:pt idx="0">
                  <c:v>3rd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'0-3岁儿童（女）身高、体重、BMI'!$J$2:$J$13</c:f>
              <c:numCache>
                <c:formatCode>General</c:formatCode>
                <c:ptCount val="12"/>
                <c:pt idx="0">
                  <c:v>2.57</c:v>
                </c:pt>
                <c:pt idx="1">
                  <c:v>4.21</c:v>
                </c:pt>
                <c:pt idx="2">
                  <c:v>5.55</c:v>
                </c:pt>
                <c:pt idx="3">
                  <c:v>6.34</c:v>
                </c:pt>
                <c:pt idx="4">
                  <c:v>7.11</c:v>
                </c:pt>
                <c:pt idx="5">
                  <c:v>7.7</c:v>
                </c:pt>
                <c:pt idx="6">
                  <c:v>8.2200000000000006</c:v>
                </c:pt>
                <c:pt idx="7">
                  <c:v>8.73</c:v>
                </c:pt>
                <c:pt idx="8">
                  <c:v>9.26</c:v>
                </c:pt>
                <c:pt idx="9">
                  <c:v>9.76</c:v>
                </c:pt>
                <c:pt idx="10">
                  <c:v>10.65</c:v>
                </c:pt>
                <c:pt idx="11">
                  <c:v>11.5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7C6-4A47-97C4-8CE430CEB08F}"/>
            </c:ext>
          </c:extLst>
        </c:ser>
        <c:ser>
          <c:idx val="8"/>
          <c:order val="8"/>
          <c:tx>
            <c:strRef>
              <c:f>'0-3岁儿童（女）身高、体重、BMI'!$K$1</c:f>
              <c:strCache>
                <c:ptCount val="1"/>
                <c:pt idx="0">
                  <c:v>10th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'0-3岁儿童（女）身高、体重、BMI'!$K$2:$K$13</c:f>
              <c:numCache>
                <c:formatCode>General</c:formatCode>
                <c:ptCount val="12"/>
                <c:pt idx="0">
                  <c:v>2.76</c:v>
                </c:pt>
                <c:pt idx="1">
                  <c:v>4.5</c:v>
                </c:pt>
                <c:pt idx="2">
                  <c:v>5.93</c:v>
                </c:pt>
                <c:pt idx="3">
                  <c:v>6.76</c:v>
                </c:pt>
                <c:pt idx="4">
                  <c:v>7.58</c:v>
                </c:pt>
                <c:pt idx="5">
                  <c:v>8.1999999999999993</c:v>
                </c:pt>
                <c:pt idx="6">
                  <c:v>8.75</c:v>
                </c:pt>
                <c:pt idx="7">
                  <c:v>9.2899999999999991</c:v>
                </c:pt>
                <c:pt idx="8">
                  <c:v>9.86</c:v>
                </c:pt>
                <c:pt idx="9">
                  <c:v>10.39</c:v>
                </c:pt>
                <c:pt idx="10">
                  <c:v>11.35</c:v>
                </c:pt>
                <c:pt idx="11">
                  <c:v>12.27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7C6-4A47-97C4-8CE430CEB08F}"/>
            </c:ext>
          </c:extLst>
        </c:ser>
        <c:ser>
          <c:idx val="9"/>
          <c:order val="9"/>
          <c:tx>
            <c:strRef>
              <c:f>'0-3岁儿童（女）身高、体重、BMI'!$L$1</c:f>
              <c:strCache>
                <c:ptCount val="1"/>
                <c:pt idx="0">
                  <c:v>25th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'0-3岁儿童（女）身高、体重、BMI'!$L$2:$L$13</c:f>
              <c:numCache>
                <c:formatCode>General</c:formatCode>
                <c:ptCount val="12"/>
                <c:pt idx="0">
                  <c:v>2.96</c:v>
                </c:pt>
                <c:pt idx="1">
                  <c:v>4.82</c:v>
                </c:pt>
                <c:pt idx="2">
                  <c:v>6.34</c:v>
                </c:pt>
                <c:pt idx="3">
                  <c:v>7.21</c:v>
                </c:pt>
                <c:pt idx="4">
                  <c:v>8.08</c:v>
                </c:pt>
                <c:pt idx="5">
                  <c:v>8.74</c:v>
                </c:pt>
                <c:pt idx="6">
                  <c:v>9.33</c:v>
                </c:pt>
                <c:pt idx="7">
                  <c:v>9.91</c:v>
                </c:pt>
                <c:pt idx="8">
                  <c:v>10.51</c:v>
                </c:pt>
                <c:pt idx="9">
                  <c:v>11.08</c:v>
                </c:pt>
                <c:pt idx="10">
                  <c:v>12.12</c:v>
                </c:pt>
                <c:pt idx="11">
                  <c:v>13.11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7C6-4A47-97C4-8CE430CEB08F}"/>
            </c:ext>
          </c:extLst>
        </c:ser>
        <c:ser>
          <c:idx val="10"/>
          <c:order val="10"/>
          <c:tx>
            <c:strRef>
              <c:f>'0-3岁儿童（女）身高、体重、BMI'!$M$1</c:f>
              <c:strCache>
                <c:ptCount val="1"/>
                <c:pt idx="0">
                  <c:v>50th</c:v>
                </c:pt>
              </c:strCache>
            </c:strRef>
          </c:tx>
          <c:spPr>
            <a:ln w="127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'0-3岁儿童（女）身高、体重、BMI'!$M$2:$M$13</c:f>
              <c:numCache>
                <c:formatCode>General</c:formatCode>
                <c:ptCount val="12"/>
                <c:pt idx="0">
                  <c:v>3.21</c:v>
                </c:pt>
                <c:pt idx="1">
                  <c:v>5.21</c:v>
                </c:pt>
                <c:pt idx="2">
                  <c:v>6.83</c:v>
                </c:pt>
                <c:pt idx="3">
                  <c:v>7.77</c:v>
                </c:pt>
                <c:pt idx="4">
                  <c:v>8.69</c:v>
                </c:pt>
                <c:pt idx="5">
                  <c:v>9.4</c:v>
                </c:pt>
                <c:pt idx="6">
                  <c:v>10.02</c:v>
                </c:pt>
                <c:pt idx="7">
                  <c:v>10.65</c:v>
                </c:pt>
                <c:pt idx="8">
                  <c:v>11.3</c:v>
                </c:pt>
                <c:pt idx="9">
                  <c:v>11.92</c:v>
                </c:pt>
                <c:pt idx="10">
                  <c:v>13.05</c:v>
                </c:pt>
                <c:pt idx="11">
                  <c:v>14.13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7C6-4A47-97C4-8CE430CEB08F}"/>
            </c:ext>
          </c:extLst>
        </c:ser>
        <c:ser>
          <c:idx val="11"/>
          <c:order val="11"/>
          <c:tx>
            <c:strRef>
              <c:f>'0-3岁儿童（女）身高、体重、BMI'!$N$1</c:f>
              <c:strCache>
                <c:ptCount val="1"/>
                <c:pt idx="0">
                  <c:v>75th</c:v>
                </c:pt>
              </c:strCache>
            </c:strRef>
          </c:tx>
          <c:spPr>
            <a:ln w="12700" cap="rnd">
              <a:solidFill>
                <a:schemeClr val="accent6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'0-3岁儿童（女）身高、体重、BMI'!$N$2:$N$13</c:f>
              <c:numCache>
                <c:formatCode>General</c:formatCode>
                <c:ptCount val="12"/>
                <c:pt idx="0">
                  <c:v>3.49</c:v>
                </c:pt>
                <c:pt idx="1">
                  <c:v>5.64</c:v>
                </c:pt>
                <c:pt idx="2">
                  <c:v>7.37</c:v>
                </c:pt>
                <c:pt idx="3">
                  <c:v>8.3699999999999992</c:v>
                </c:pt>
                <c:pt idx="4">
                  <c:v>9.36</c:v>
                </c:pt>
                <c:pt idx="5">
                  <c:v>10.119999999999999</c:v>
                </c:pt>
                <c:pt idx="6">
                  <c:v>10.79</c:v>
                </c:pt>
                <c:pt idx="7">
                  <c:v>11.46</c:v>
                </c:pt>
                <c:pt idx="8">
                  <c:v>12.17</c:v>
                </c:pt>
                <c:pt idx="9">
                  <c:v>12.84</c:v>
                </c:pt>
                <c:pt idx="10">
                  <c:v>14.07</c:v>
                </c:pt>
                <c:pt idx="11">
                  <c:v>15.25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7C6-4A47-97C4-8CE430CEB08F}"/>
            </c:ext>
          </c:extLst>
        </c:ser>
        <c:ser>
          <c:idx val="12"/>
          <c:order val="12"/>
          <c:tx>
            <c:strRef>
              <c:f>'0-3岁儿童（女）身高、体重、BMI'!$O$1</c:f>
              <c:strCache>
                <c:ptCount val="1"/>
                <c:pt idx="0">
                  <c:v>90th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'0-3岁儿童（女）身高、体重、BMI'!$O$2:$O$13</c:f>
              <c:numCache>
                <c:formatCode>General</c:formatCode>
                <c:ptCount val="12"/>
                <c:pt idx="0">
                  <c:v>3.75</c:v>
                </c:pt>
                <c:pt idx="1">
                  <c:v>6.06</c:v>
                </c:pt>
                <c:pt idx="2">
                  <c:v>7.9</c:v>
                </c:pt>
                <c:pt idx="3">
                  <c:v>8.9600000000000009</c:v>
                </c:pt>
                <c:pt idx="4">
                  <c:v>10.01</c:v>
                </c:pt>
                <c:pt idx="5">
                  <c:v>10.82</c:v>
                </c:pt>
                <c:pt idx="6">
                  <c:v>11.53</c:v>
                </c:pt>
                <c:pt idx="7">
                  <c:v>12.25</c:v>
                </c:pt>
                <c:pt idx="8">
                  <c:v>13.01</c:v>
                </c:pt>
                <c:pt idx="9">
                  <c:v>13.74</c:v>
                </c:pt>
                <c:pt idx="10">
                  <c:v>15.08</c:v>
                </c:pt>
                <c:pt idx="11">
                  <c:v>16.36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7C6-4A47-97C4-8CE430CEB08F}"/>
            </c:ext>
          </c:extLst>
        </c:ser>
        <c:ser>
          <c:idx val="13"/>
          <c:order val="13"/>
          <c:tx>
            <c:strRef>
              <c:f>'0-3岁儿童（女）身高、体重、BMI'!$P$1</c:f>
              <c:strCache>
                <c:ptCount val="1"/>
                <c:pt idx="0">
                  <c:v>97th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'0-3岁儿童（女）身高、体重、BMI'!$P$2:$P$13</c:f>
              <c:numCache>
                <c:formatCode>General</c:formatCode>
                <c:ptCount val="12"/>
                <c:pt idx="0">
                  <c:v>4.04</c:v>
                </c:pt>
                <c:pt idx="1">
                  <c:v>6.51</c:v>
                </c:pt>
                <c:pt idx="2">
                  <c:v>8.4700000000000006</c:v>
                </c:pt>
                <c:pt idx="3">
                  <c:v>9.59</c:v>
                </c:pt>
                <c:pt idx="4">
                  <c:v>10.71</c:v>
                </c:pt>
                <c:pt idx="5">
                  <c:v>11.57</c:v>
                </c:pt>
                <c:pt idx="6">
                  <c:v>12.33</c:v>
                </c:pt>
                <c:pt idx="7">
                  <c:v>13.11</c:v>
                </c:pt>
                <c:pt idx="8">
                  <c:v>13.93</c:v>
                </c:pt>
                <c:pt idx="9">
                  <c:v>14.71</c:v>
                </c:pt>
                <c:pt idx="10">
                  <c:v>16.16</c:v>
                </c:pt>
                <c:pt idx="11">
                  <c:v>17.55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7C6-4A47-97C4-8CE430CEB08F}"/>
            </c:ext>
          </c:extLst>
        </c:ser>
        <c:ser>
          <c:idx val="16"/>
          <c:order val="15"/>
          <c:tx>
            <c:v>测量体重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1152647975077861E-2"/>
                  <c:y val="3.90625E-2"/>
                </c:manualLayout>
              </c:layout>
              <c:tx>
                <c:rich>
                  <a:bodyPr/>
                  <a:lstStyle/>
                  <a:p>
                    <a:fld id="{0FFE2B48-A613-484F-85F6-BA4A3791B4E3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A4421D91-801A-4D91-9E1A-82A4A8BA405E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C6151C7A-9E5E-42E0-BAFC-802E4B3BBA66}" type="XVALUE">
                      <a:rPr lang="en-US" altLang="zh-CN" baseline="0"/>
                      <a:pPr/>
                      <a:t>[X 值]</a:t>
                    </a:fld>
                    <a:endParaRPr lang="en-US" altLang="zh-CN" baseline="0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670-47A1-8A63-EEECBD58A376}"/>
                </c:ext>
              </c:extLst>
            </c:dLbl>
            <c:dLbl>
              <c:idx val="1"/>
              <c:layout>
                <c:manualLayout>
                  <c:x val="5.7854917668001778E-2"/>
                  <c:y val="5.5803571428571432E-2"/>
                </c:manualLayout>
              </c:layout>
              <c:tx>
                <c:rich>
                  <a:bodyPr/>
                  <a:lstStyle/>
                  <a:p>
                    <a:fld id="{D8BEB817-4928-4BF6-914E-D85D66B7D16E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71849E6A-DB6F-436C-B9AE-2661EF84D7F0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5805739D-0045-4726-9FA0-4C23BDB9C64A}" type="XVALUE">
                      <a:rPr lang="en-US" altLang="zh-CN" baseline="0"/>
                      <a:pPr/>
                      <a:t>[X 值]</a:t>
                    </a:fld>
                    <a:endParaRPr lang="en-US" altLang="zh-CN" baseline="0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670-47A1-8A63-EEECBD58A376}"/>
                </c:ext>
              </c:extLst>
            </c:dLbl>
            <c:dLbl>
              <c:idx val="2"/>
              <c:layout>
                <c:manualLayout>
                  <c:x val="-3.5603026257231864E-2"/>
                  <c:y val="-9.6726190476190549E-2"/>
                </c:manualLayout>
              </c:layout>
              <c:tx>
                <c:rich>
                  <a:bodyPr/>
                  <a:lstStyle/>
                  <a:p>
                    <a:fld id="{8EAD3432-9346-4D99-8FE6-F97B5BE21D3C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AD595440-08DB-427B-9454-A47774A6F61E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E1C34280-1D53-4AE8-9E6B-1301019837AC}" type="XVALUE">
                      <a:rPr lang="en-US" altLang="zh-CN" baseline="0"/>
                      <a:pPr/>
                      <a:t>[X 值]</a:t>
                    </a:fld>
                    <a:endParaRPr lang="en-US" altLang="zh-CN" baseline="0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8670-47A1-8A63-EEECBD58A376}"/>
                </c:ext>
              </c:extLst>
            </c:dLbl>
            <c:dLbl>
              <c:idx val="3"/>
              <c:layout>
                <c:manualLayout>
                  <c:x val="-5.1179350244770806E-2"/>
                  <c:y val="-0.12462797619047626"/>
                </c:manualLayout>
              </c:layout>
              <c:tx>
                <c:rich>
                  <a:bodyPr/>
                  <a:lstStyle/>
                  <a:p>
                    <a:fld id="{277B63E4-EBB2-4AAB-8122-83B1A1296CFC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D49278B2-C740-4CFF-BB7B-1E3B93D1C68A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C2B982D8-FEAD-4E33-83C9-5B7A79F781D8}" type="XVALUE">
                      <a:rPr lang="en-US" altLang="zh-CN" baseline="0"/>
                      <a:pPr/>
                      <a:t>[X 值]</a:t>
                    </a:fld>
                    <a:endParaRPr lang="en-US" altLang="zh-CN" baseline="0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670-47A1-8A63-EEECBD58A376}"/>
                </c:ext>
              </c:extLst>
            </c:dLbl>
            <c:dLbl>
              <c:idx val="4"/>
              <c:layout>
                <c:manualLayout>
                  <c:x val="-2.1139296840231584E-2"/>
                  <c:y val="-0.11904761904761911"/>
                </c:manualLayout>
              </c:layout>
              <c:tx>
                <c:rich>
                  <a:bodyPr/>
                  <a:lstStyle/>
                  <a:p>
                    <a:fld id="{2EA21961-7C42-40D3-AC27-542F80DF402C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1C73CB8A-3618-42B9-9E93-CC157E7A2091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524BDA54-A1E5-4E38-AE10-E06444632FA1}" type="XVALUE">
                      <a:rPr lang="en-US" altLang="zh-CN" baseline="0"/>
                      <a:pPr/>
                      <a:t>[X 值]</a:t>
                    </a:fld>
                    <a:endParaRPr lang="en-US" altLang="zh-CN" baseline="0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8670-47A1-8A63-EEECBD58A376}"/>
                </c:ext>
              </c:extLst>
            </c:dLbl>
            <c:dLbl>
              <c:idx val="5"/>
              <c:layout>
                <c:manualLayout>
                  <c:x val="-2.2251891410769915E-3"/>
                  <c:y val="-0.1302083333333334"/>
                </c:manualLayout>
              </c:layout>
              <c:tx>
                <c:rich>
                  <a:bodyPr/>
                  <a:lstStyle/>
                  <a:p>
                    <a:fld id="{E57BCE5F-4FDF-408C-BBF2-B80A45893481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3581FCE4-28F5-4A3E-B5D3-8B9D066347E5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4C811645-4FC7-49DB-9A54-E0930EB03653}" type="XVALUE">
                      <a:rPr lang="en-US" altLang="zh-CN" baseline="0"/>
                      <a:pPr/>
                      <a:t>[X 值]</a:t>
                    </a:fld>
                    <a:endParaRPr lang="en-US" altLang="zh-CN" baseline="0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8670-47A1-8A63-EEECBD58A37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670-47A1-8A63-EEECBD58A37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670-47A1-8A63-EEECBD58A37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670-47A1-8A63-EEECBD58A37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670-47A1-8A63-EEECBD58A37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670-47A1-8A63-EEECBD58A37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670-47A1-8A63-EEECBD58A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round/>
                      <a:headEnd type="diamond" w="sm" len="sm"/>
                    </a:ln>
                    <a:effectLst/>
                  </c:spPr>
                </c15:leaderLines>
              </c:ext>
            </c:extLst>
          </c:dLbls>
          <c:xVal>
            <c:numRef>
              <c:f>'0-3岁儿童（女）身高、体重、BMI'!$X$2:$X$13</c:f>
              <c:numCache>
                <c:formatCode>General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</c:numCache>
            </c:numRef>
          </c:xVal>
          <c:yVal>
            <c:numRef>
              <c:f>'0-3岁儿童（女）身高、体重、BMI'!$Z$2:$Z$13</c:f>
              <c:numCache>
                <c:formatCode>General</c:formatCode>
                <c:ptCount val="12"/>
                <c:pt idx="0">
                  <c:v>5.5</c:v>
                </c:pt>
                <c:pt idx="1">
                  <c:v>7.8</c:v>
                </c:pt>
                <c:pt idx="2">
                  <c:v>9.8000000000000007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'0-3岁儿童（女）身高、体重、BMI'!$T$2:$T$13</c15:f>
                <c15:dlblRangeCache>
                  <c:ptCount val="12"/>
                  <c:pt idx="0">
                    <c:v>2月</c:v>
                  </c:pt>
                  <c:pt idx="1">
                    <c:v>6月</c:v>
                  </c:pt>
                  <c:pt idx="2">
                    <c:v>12月</c:v>
                  </c:pt>
                  <c:pt idx="3">
                    <c:v>2岁</c:v>
                  </c:pt>
                  <c:pt idx="4">
                    <c:v>2.5岁</c:v>
                  </c:pt>
                  <c:pt idx="5">
                    <c:v>3岁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8670-47A1-8A63-EEECBD58A376}"/>
            </c:ext>
          </c:extLst>
        </c:ser>
        <c:ser>
          <c:idx val="14"/>
          <c:order val="16"/>
          <c:tx>
            <c:v>X轴年龄显示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8BB9305-7D6A-4D24-955C-2C3A96CDAB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C6-4A47-97C4-8CE430CEB08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7B6821E-4E93-4288-8E84-1F3BB56B50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7C6-4A47-97C4-8CE430CEB08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76A99E-3E5D-440B-9B62-C30F45494AD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7C6-4A47-97C4-8CE430CEB0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0843AE7-DECE-46E3-B284-693CA212D5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7C6-4A47-97C4-8CE430CEB0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C5D0FD-7616-42FC-A58B-39D7BCC8F5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7C6-4A47-97C4-8CE430CEB0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3E99904-964D-4912-98DF-B9B7C5911A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7C6-4A47-97C4-8CE430CEB08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6B138AE-916E-4299-9128-FFDFCC3BD1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7C6-4A47-97C4-8CE430CEB08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122A1F-7E89-4F09-A430-7074FC23D8E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7C6-4A47-97C4-8CE430CEB08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046B0F5-F6D6-45FA-82E4-9C62340CE2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7C6-4A47-97C4-8CE430CEB08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B07B53-3D48-47CB-9447-0AC6D9C9D47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7C6-4A47-97C4-8CE430CEB08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94B26B2-5421-4626-BC49-AA546EC7F0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7C6-4A47-97C4-8CE430CEB08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61DBBFB-6472-459D-8539-C87BB77291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7C6-4A47-97C4-8CE430CEB0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'0-3岁儿童（女）身高、体重、BMI'!$B$2:$B$13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24</c:v>
                </c:pt>
                <c:pt idx="10">
                  <c:v>30</c:v>
                </c:pt>
                <c:pt idx="11">
                  <c:v>36</c:v>
                </c:pt>
              </c:numCache>
            </c:numRef>
          </c:xVal>
          <c:yVal>
            <c:numRef>
              <c:f>'0-3岁儿童（女）身高、体重、BMI'!$A$2:$A$13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'0-3岁儿童（女）身高、体重、BMI'!$A$2:$A$13</c15:f>
                <c15:dlblRangeCache>
                  <c:ptCount val="12"/>
                  <c:pt idx="0">
                    <c:v>0月</c:v>
                  </c:pt>
                  <c:pt idx="1">
                    <c:v>2月</c:v>
                  </c:pt>
                  <c:pt idx="2">
                    <c:v>4月</c:v>
                  </c:pt>
                  <c:pt idx="3">
                    <c:v>6月</c:v>
                  </c:pt>
                  <c:pt idx="4">
                    <c:v>9月</c:v>
                  </c:pt>
                  <c:pt idx="5">
                    <c:v>12月</c:v>
                  </c:pt>
                  <c:pt idx="6">
                    <c:v>15月</c:v>
                  </c:pt>
                  <c:pt idx="7">
                    <c:v>18月</c:v>
                  </c:pt>
                  <c:pt idx="8">
                    <c:v>21月</c:v>
                  </c:pt>
                  <c:pt idx="9">
                    <c:v>2岁</c:v>
                  </c:pt>
                  <c:pt idx="10">
                    <c:v>2.5岁</c:v>
                  </c:pt>
                  <c:pt idx="11">
                    <c:v>3岁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47C6-4A47-97C4-8CE430CEB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187400"/>
        <c:axId val="1466198200"/>
      </c:scatterChart>
      <c:valAx>
        <c:axId val="6537790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crossAx val="653779392"/>
        <c:crosses val="autoZero"/>
        <c:crossBetween val="midCat"/>
      </c:valAx>
      <c:valAx>
        <c:axId val="653779392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身高（</a:t>
                </a:r>
                <a:r>
                  <a:rPr lang="en-US" altLang="zh-C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cm</a:t>
                </a:r>
                <a:r>
                  <a:rPr lang="zh-CN" alt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10124610591900311"/>
              <c:y val="5.02740380108736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3779032"/>
        <c:crosses val="autoZero"/>
        <c:crossBetween val="midCat"/>
        <c:majorUnit val="5"/>
      </c:valAx>
      <c:valAx>
        <c:axId val="1466198200"/>
        <c:scaling>
          <c:orientation val="minMax"/>
          <c:max val="30"/>
        </c:scaling>
        <c:delete val="0"/>
        <c:axPos val="r"/>
        <c:title>
          <c:tx>
            <c:rich>
              <a:bodyPr rot="0" spcFirstLastPara="1" vertOverflow="ellipsis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体重（</a:t>
                </a:r>
                <a:r>
                  <a:rPr lang="en-US" altLang="zh-C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</a:t>
                </a:r>
                <a:r>
                  <a:rPr lang="zh-CN" alt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2768135291499776"/>
              <c:y val="4.84139189632545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6187400"/>
        <c:crosses val="max"/>
        <c:crossBetween val="midCat"/>
        <c:majorUnit val="2"/>
      </c:valAx>
      <c:valAx>
        <c:axId val="14661874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1466198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15"/>
        <c:delete val="1"/>
      </c:legendEntry>
      <c:legendEntry>
        <c:idx val="16"/>
        <c:delete val="1"/>
      </c:legendEntry>
      <c:layout>
        <c:manualLayout>
          <c:xMode val="edge"/>
          <c:yMode val="edge"/>
          <c:x val="5.2799007600685427E-2"/>
          <c:y val="0.96570086942257216"/>
          <c:w val="0.89999995617297124"/>
          <c:h val="3.0682687433132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中国</a:t>
            </a:r>
            <a:r>
              <a:rPr lang="en-US" altLang="zh-CN"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2-18</a:t>
            </a:r>
            <a:r>
              <a:rPr lang="zh-CN" altLang="en-US"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岁儿童青少年（女）</a:t>
            </a:r>
            <a:r>
              <a:rPr lang="en-US" altLang="zh-CN"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BMI</a:t>
            </a:r>
            <a:r>
              <a:rPr lang="zh-CN" altLang="en-US"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百分位曲线图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1365857417790702E-2"/>
          <c:y val="7.8096440425142924E-2"/>
          <c:w val="0.9379468972081747"/>
          <c:h val="0.841464531698638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'百分位指标源数据-女'!$Q$1</c:f>
              <c:strCache>
                <c:ptCount val="1"/>
                <c:pt idx="0">
                  <c:v>3rd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'百分位指标源数据-女'!$Q$2:$Q$34</c:f>
              <c:numCache>
                <c:formatCode>General</c:formatCode>
                <c:ptCount val="33"/>
                <c:pt idx="0">
                  <c:v>13.9</c:v>
                </c:pt>
                <c:pt idx="1">
                  <c:v>13.6</c:v>
                </c:pt>
                <c:pt idx="2">
                  <c:v>13.5</c:v>
                </c:pt>
                <c:pt idx="3">
                  <c:v>13.3</c:v>
                </c:pt>
                <c:pt idx="4">
                  <c:v>13.2</c:v>
                </c:pt>
                <c:pt idx="5">
                  <c:v>13</c:v>
                </c:pt>
                <c:pt idx="6">
                  <c:v>12.9</c:v>
                </c:pt>
                <c:pt idx="7">
                  <c:v>12.8</c:v>
                </c:pt>
                <c:pt idx="8">
                  <c:v>12.8</c:v>
                </c:pt>
                <c:pt idx="9">
                  <c:v>12.7</c:v>
                </c:pt>
                <c:pt idx="10">
                  <c:v>12.7</c:v>
                </c:pt>
                <c:pt idx="11">
                  <c:v>12.7</c:v>
                </c:pt>
                <c:pt idx="12">
                  <c:v>12.7</c:v>
                </c:pt>
                <c:pt idx="13">
                  <c:v>12.7</c:v>
                </c:pt>
                <c:pt idx="14">
                  <c:v>12.8</c:v>
                </c:pt>
                <c:pt idx="15">
                  <c:v>13</c:v>
                </c:pt>
                <c:pt idx="16">
                  <c:v>13.1</c:v>
                </c:pt>
                <c:pt idx="17">
                  <c:v>13.3</c:v>
                </c:pt>
                <c:pt idx="18">
                  <c:v>13.5</c:v>
                </c:pt>
                <c:pt idx="19">
                  <c:v>13.8</c:v>
                </c:pt>
                <c:pt idx="20">
                  <c:v>14</c:v>
                </c:pt>
                <c:pt idx="21">
                  <c:v>14.3</c:v>
                </c:pt>
                <c:pt idx="22">
                  <c:v>14.5</c:v>
                </c:pt>
                <c:pt idx="23">
                  <c:v>14.8</c:v>
                </c:pt>
                <c:pt idx="24">
                  <c:v>15</c:v>
                </c:pt>
                <c:pt idx="25">
                  <c:v>15.2</c:v>
                </c:pt>
                <c:pt idx="26">
                  <c:v>15.4</c:v>
                </c:pt>
                <c:pt idx="27">
                  <c:v>15.6</c:v>
                </c:pt>
                <c:pt idx="28">
                  <c:v>15.8</c:v>
                </c:pt>
                <c:pt idx="29">
                  <c:v>15.9</c:v>
                </c:pt>
                <c:pt idx="30">
                  <c:v>16</c:v>
                </c:pt>
                <c:pt idx="31">
                  <c:v>16.2</c:v>
                </c:pt>
                <c:pt idx="32">
                  <c:v>16.3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39-48ED-8143-6449F0B9EA93}"/>
            </c:ext>
          </c:extLst>
        </c:ser>
        <c:ser>
          <c:idx val="1"/>
          <c:order val="1"/>
          <c:tx>
            <c:strRef>
              <c:f>'百分位指标源数据-女'!$R$1</c:f>
              <c:strCache>
                <c:ptCount val="1"/>
                <c:pt idx="0">
                  <c:v>5th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'百分位指标源数据-女'!$R$2:$R$34</c:f>
              <c:numCache>
                <c:formatCode>General</c:formatCode>
                <c:ptCount val="33"/>
                <c:pt idx="0">
                  <c:v>14.1</c:v>
                </c:pt>
                <c:pt idx="1">
                  <c:v>13.9</c:v>
                </c:pt>
                <c:pt idx="2">
                  <c:v>13.7</c:v>
                </c:pt>
                <c:pt idx="3">
                  <c:v>13.5</c:v>
                </c:pt>
                <c:pt idx="4">
                  <c:v>13.4</c:v>
                </c:pt>
                <c:pt idx="5">
                  <c:v>13.3</c:v>
                </c:pt>
                <c:pt idx="6">
                  <c:v>13.2</c:v>
                </c:pt>
                <c:pt idx="7">
                  <c:v>13.1</c:v>
                </c:pt>
                <c:pt idx="8">
                  <c:v>13</c:v>
                </c:pt>
                <c:pt idx="9">
                  <c:v>13</c:v>
                </c:pt>
                <c:pt idx="10">
                  <c:v>12.9</c:v>
                </c:pt>
                <c:pt idx="11">
                  <c:v>12.9</c:v>
                </c:pt>
                <c:pt idx="12">
                  <c:v>13</c:v>
                </c:pt>
                <c:pt idx="13">
                  <c:v>13</c:v>
                </c:pt>
                <c:pt idx="14">
                  <c:v>13.1</c:v>
                </c:pt>
                <c:pt idx="15">
                  <c:v>13.3</c:v>
                </c:pt>
                <c:pt idx="16">
                  <c:v>13.4</c:v>
                </c:pt>
                <c:pt idx="17">
                  <c:v>13.6</c:v>
                </c:pt>
                <c:pt idx="18">
                  <c:v>13.9</c:v>
                </c:pt>
                <c:pt idx="19">
                  <c:v>14.1</c:v>
                </c:pt>
                <c:pt idx="20">
                  <c:v>14.4</c:v>
                </c:pt>
                <c:pt idx="21">
                  <c:v>14.6</c:v>
                </c:pt>
                <c:pt idx="22">
                  <c:v>14.9</c:v>
                </c:pt>
                <c:pt idx="23">
                  <c:v>15.2</c:v>
                </c:pt>
                <c:pt idx="24">
                  <c:v>15.4</c:v>
                </c:pt>
                <c:pt idx="25">
                  <c:v>15.6</c:v>
                </c:pt>
                <c:pt idx="26">
                  <c:v>15.8</c:v>
                </c:pt>
                <c:pt idx="27">
                  <c:v>16</c:v>
                </c:pt>
                <c:pt idx="28">
                  <c:v>16.2</c:v>
                </c:pt>
                <c:pt idx="29">
                  <c:v>16.3</c:v>
                </c:pt>
                <c:pt idx="30">
                  <c:v>16.399999999999999</c:v>
                </c:pt>
                <c:pt idx="31">
                  <c:v>16.600000000000001</c:v>
                </c:pt>
                <c:pt idx="32">
                  <c:v>16.7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39-48ED-8143-6449F0B9EA93}"/>
            </c:ext>
          </c:extLst>
        </c:ser>
        <c:ser>
          <c:idx val="2"/>
          <c:order val="2"/>
          <c:tx>
            <c:strRef>
              <c:f>'百分位指标源数据-女'!$S$1</c:f>
              <c:strCache>
                <c:ptCount val="1"/>
                <c:pt idx="0">
                  <c:v>10th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'百分位指标源数据-女'!$S$2:$S$34</c:f>
              <c:numCache>
                <c:formatCode>General</c:formatCode>
                <c:ptCount val="33"/>
                <c:pt idx="0">
                  <c:v>14.5</c:v>
                </c:pt>
                <c:pt idx="1">
                  <c:v>14.2</c:v>
                </c:pt>
                <c:pt idx="2">
                  <c:v>14</c:v>
                </c:pt>
                <c:pt idx="3">
                  <c:v>13.9</c:v>
                </c:pt>
                <c:pt idx="4">
                  <c:v>13.7</c:v>
                </c:pt>
                <c:pt idx="5">
                  <c:v>13.6</c:v>
                </c:pt>
                <c:pt idx="6">
                  <c:v>13.5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13.3</c:v>
                </c:pt>
                <c:pt idx="11">
                  <c:v>13.4</c:v>
                </c:pt>
                <c:pt idx="12">
                  <c:v>13.4</c:v>
                </c:pt>
                <c:pt idx="13">
                  <c:v>13.5</c:v>
                </c:pt>
                <c:pt idx="14">
                  <c:v>13.6</c:v>
                </c:pt>
                <c:pt idx="15">
                  <c:v>13.7</c:v>
                </c:pt>
                <c:pt idx="16">
                  <c:v>13.9</c:v>
                </c:pt>
                <c:pt idx="17">
                  <c:v>14.2</c:v>
                </c:pt>
                <c:pt idx="18">
                  <c:v>14.4</c:v>
                </c:pt>
                <c:pt idx="19">
                  <c:v>14.7</c:v>
                </c:pt>
                <c:pt idx="20">
                  <c:v>15</c:v>
                </c:pt>
                <c:pt idx="21">
                  <c:v>15.2</c:v>
                </c:pt>
                <c:pt idx="22">
                  <c:v>15.5</c:v>
                </c:pt>
                <c:pt idx="23">
                  <c:v>15.8</c:v>
                </c:pt>
                <c:pt idx="24">
                  <c:v>16</c:v>
                </c:pt>
                <c:pt idx="25">
                  <c:v>16.3</c:v>
                </c:pt>
                <c:pt idx="26">
                  <c:v>16.5</c:v>
                </c:pt>
                <c:pt idx="27">
                  <c:v>16.7</c:v>
                </c:pt>
                <c:pt idx="28">
                  <c:v>16.8</c:v>
                </c:pt>
                <c:pt idx="29">
                  <c:v>17</c:v>
                </c:pt>
                <c:pt idx="30">
                  <c:v>17.100000000000001</c:v>
                </c:pt>
                <c:pt idx="31">
                  <c:v>17.2</c:v>
                </c:pt>
                <c:pt idx="32">
                  <c:v>17.399999999999999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39-48ED-8143-6449F0B9EA93}"/>
            </c:ext>
          </c:extLst>
        </c:ser>
        <c:ser>
          <c:idx val="3"/>
          <c:order val="3"/>
          <c:tx>
            <c:strRef>
              <c:f>'百分位指标源数据-女'!$T$1</c:f>
              <c:strCache>
                <c:ptCount val="1"/>
                <c:pt idx="0">
                  <c:v>15th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'百分位指标源数据-女'!$T$2:$T$34</c:f>
              <c:numCache>
                <c:formatCode>General</c:formatCode>
                <c:ptCount val="33"/>
                <c:pt idx="0">
                  <c:v>14.8</c:v>
                </c:pt>
                <c:pt idx="1">
                  <c:v>14.5</c:v>
                </c:pt>
                <c:pt idx="2">
                  <c:v>14.3</c:v>
                </c:pt>
                <c:pt idx="3">
                  <c:v>14.1</c:v>
                </c:pt>
                <c:pt idx="4">
                  <c:v>14</c:v>
                </c:pt>
                <c:pt idx="5">
                  <c:v>13.9</c:v>
                </c:pt>
                <c:pt idx="6">
                  <c:v>13.8</c:v>
                </c:pt>
                <c:pt idx="7">
                  <c:v>13.7</c:v>
                </c:pt>
                <c:pt idx="8">
                  <c:v>13.7</c:v>
                </c:pt>
                <c:pt idx="9">
                  <c:v>13.6</c:v>
                </c:pt>
                <c:pt idx="10">
                  <c:v>13.6</c:v>
                </c:pt>
                <c:pt idx="11">
                  <c:v>13.7</c:v>
                </c:pt>
                <c:pt idx="12">
                  <c:v>13.7</c:v>
                </c:pt>
                <c:pt idx="13">
                  <c:v>13.8</c:v>
                </c:pt>
                <c:pt idx="14">
                  <c:v>13.9</c:v>
                </c:pt>
                <c:pt idx="15">
                  <c:v>14.1</c:v>
                </c:pt>
                <c:pt idx="16">
                  <c:v>14.3</c:v>
                </c:pt>
                <c:pt idx="17">
                  <c:v>14.5</c:v>
                </c:pt>
                <c:pt idx="18">
                  <c:v>14.8</c:v>
                </c:pt>
                <c:pt idx="19">
                  <c:v>15.1</c:v>
                </c:pt>
                <c:pt idx="20">
                  <c:v>15.4</c:v>
                </c:pt>
                <c:pt idx="21">
                  <c:v>15.7</c:v>
                </c:pt>
                <c:pt idx="22">
                  <c:v>16</c:v>
                </c:pt>
                <c:pt idx="23">
                  <c:v>16.2</c:v>
                </c:pt>
                <c:pt idx="24">
                  <c:v>16.5</c:v>
                </c:pt>
                <c:pt idx="25">
                  <c:v>16.7</c:v>
                </c:pt>
                <c:pt idx="26">
                  <c:v>17</c:v>
                </c:pt>
                <c:pt idx="27">
                  <c:v>17.2</c:v>
                </c:pt>
                <c:pt idx="28">
                  <c:v>17.3</c:v>
                </c:pt>
                <c:pt idx="29">
                  <c:v>17.5</c:v>
                </c:pt>
                <c:pt idx="30">
                  <c:v>17.600000000000001</c:v>
                </c:pt>
                <c:pt idx="31">
                  <c:v>17.7</c:v>
                </c:pt>
                <c:pt idx="32">
                  <c:v>17.899999999999999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39-48ED-8143-6449F0B9EA93}"/>
            </c:ext>
          </c:extLst>
        </c:ser>
        <c:ser>
          <c:idx val="4"/>
          <c:order val="4"/>
          <c:tx>
            <c:strRef>
              <c:f>'百分位指标源数据-女'!$U$1</c:f>
              <c:strCache>
                <c:ptCount val="1"/>
                <c:pt idx="0">
                  <c:v>50th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'百分位指标源数据-女'!$U$2:$U$34</c:f>
              <c:numCache>
                <c:formatCode>General</c:formatCode>
                <c:ptCount val="33"/>
                <c:pt idx="0">
                  <c:v>15.9</c:v>
                </c:pt>
                <c:pt idx="1">
                  <c:v>15.6</c:v>
                </c:pt>
                <c:pt idx="2">
                  <c:v>15.4</c:v>
                </c:pt>
                <c:pt idx="3">
                  <c:v>15.3</c:v>
                </c:pt>
                <c:pt idx="4">
                  <c:v>15.2</c:v>
                </c:pt>
                <c:pt idx="5">
                  <c:v>15.1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15.1</c:v>
                </c:pt>
                <c:pt idx="12">
                  <c:v>15.2</c:v>
                </c:pt>
                <c:pt idx="13">
                  <c:v>15.4</c:v>
                </c:pt>
                <c:pt idx="14">
                  <c:v>15.6</c:v>
                </c:pt>
                <c:pt idx="15">
                  <c:v>15.8</c:v>
                </c:pt>
                <c:pt idx="16">
                  <c:v>16.100000000000001</c:v>
                </c:pt>
                <c:pt idx="17">
                  <c:v>16.399999999999999</c:v>
                </c:pt>
                <c:pt idx="18">
                  <c:v>16.7</c:v>
                </c:pt>
                <c:pt idx="19">
                  <c:v>17.100000000000001</c:v>
                </c:pt>
                <c:pt idx="20">
                  <c:v>17.399999999999999</c:v>
                </c:pt>
                <c:pt idx="21">
                  <c:v>17.8</c:v>
                </c:pt>
                <c:pt idx="22">
                  <c:v>18.100000000000001</c:v>
                </c:pt>
                <c:pt idx="23">
                  <c:v>18.5</c:v>
                </c:pt>
                <c:pt idx="24">
                  <c:v>18.8</c:v>
                </c:pt>
                <c:pt idx="25">
                  <c:v>19.100000000000001</c:v>
                </c:pt>
                <c:pt idx="26">
                  <c:v>19.3</c:v>
                </c:pt>
                <c:pt idx="27">
                  <c:v>19.5</c:v>
                </c:pt>
                <c:pt idx="28">
                  <c:v>19.7</c:v>
                </c:pt>
                <c:pt idx="29">
                  <c:v>19.899999999999999</c:v>
                </c:pt>
                <c:pt idx="30">
                  <c:v>20</c:v>
                </c:pt>
                <c:pt idx="31">
                  <c:v>20.2</c:v>
                </c:pt>
                <c:pt idx="32">
                  <c:v>20.3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39-48ED-8143-6449F0B9EA93}"/>
            </c:ext>
          </c:extLst>
        </c:ser>
        <c:ser>
          <c:idx val="5"/>
          <c:order val="5"/>
          <c:tx>
            <c:strRef>
              <c:f>'百分位指标源数据-女'!$V$1</c:f>
              <c:strCache>
                <c:ptCount val="1"/>
                <c:pt idx="0">
                  <c:v>85th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'百分位指标源数据-女'!$V$2:$V$34</c:f>
              <c:numCache>
                <c:formatCode>General</c:formatCode>
                <c:ptCount val="33"/>
                <c:pt idx="0">
                  <c:v>17.3</c:v>
                </c:pt>
                <c:pt idx="1">
                  <c:v>17</c:v>
                </c:pt>
                <c:pt idx="2">
                  <c:v>16.8</c:v>
                </c:pt>
                <c:pt idx="3">
                  <c:v>16.600000000000001</c:v>
                </c:pt>
                <c:pt idx="4">
                  <c:v>16.5</c:v>
                </c:pt>
                <c:pt idx="5">
                  <c:v>16.5</c:v>
                </c:pt>
                <c:pt idx="6">
                  <c:v>16.5</c:v>
                </c:pt>
                <c:pt idx="7">
                  <c:v>16.5</c:v>
                </c:pt>
                <c:pt idx="8">
                  <c:v>16.5</c:v>
                </c:pt>
                <c:pt idx="9">
                  <c:v>16.600000000000001</c:v>
                </c:pt>
                <c:pt idx="10">
                  <c:v>16.7</c:v>
                </c:pt>
                <c:pt idx="11">
                  <c:v>16.899999999999999</c:v>
                </c:pt>
                <c:pt idx="12">
                  <c:v>17.100000000000001</c:v>
                </c:pt>
                <c:pt idx="13">
                  <c:v>17.399999999999999</c:v>
                </c:pt>
                <c:pt idx="14">
                  <c:v>17.7</c:v>
                </c:pt>
                <c:pt idx="15">
                  <c:v>18</c:v>
                </c:pt>
                <c:pt idx="16">
                  <c:v>18.399999999999999</c:v>
                </c:pt>
                <c:pt idx="17">
                  <c:v>18.8</c:v>
                </c:pt>
                <c:pt idx="18">
                  <c:v>19.3</c:v>
                </c:pt>
                <c:pt idx="19">
                  <c:v>19.7</c:v>
                </c:pt>
                <c:pt idx="20">
                  <c:v>20.2</c:v>
                </c:pt>
                <c:pt idx="21">
                  <c:v>20.6</c:v>
                </c:pt>
                <c:pt idx="22">
                  <c:v>21.1</c:v>
                </c:pt>
                <c:pt idx="23">
                  <c:v>21.4</c:v>
                </c:pt>
                <c:pt idx="24">
                  <c:v>21.8</c:v>
                </c:pt>
                <c:pt idx="25">
                  <c:v>22.1</c:v>
                </c:pt>
                <c:pt idx="26">
                  <c:v>22.4</c:v>
                </c:pt>
                <c:pt idx="27">
                  <c:v>22.7</c:v>
                </c:pt>
                <c:pt idx="28">
                  <c:v>22.9</c:v>
                </c:pt>
                <c:pt idx="29">
                  <c:v>23.1</c:v>
                </c:pt>
                <c:pt idx="30">
                  <c:v>23.3</c:v>
                </c:pt>
                <c:pt idx="31">
                  <c:v>23.4</c:v>
                </c:pt>
                <c:pt idx="32">
                  <c:v>23.6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39-48ED-8143-6449F0B9EA93}"/>
            </c:ext>
          </c:extLst>
        </c:ser>
        <c:ser>
          <c:idx val="6"/>
          <c:order val="6"/>
          <c:tx>
            <c:strRef>
              <c:f>'百分位指标源数据-女'!$W$1</c:f>
              <c:strCache>
                <c:ptCount val="1"/>
                <c:pt idx="0">
                  <c:v>90th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'百分位指标源数据-女'!$W$2:$W$34</c:f>
              <c:numCache>
                <c:formatCode>General</c:formatCode>
                <c:ptCount val="33"/>
                <c:pt idx="0">
                  <c:v>17.7</c:v>
                </c:pt>
                <c:pt idx="1">
                  <c:v>17.3</c:v>
                </c:pt>
                <c:pt idx="2">
                  <c:v>17.100000000000001</c:v>
                </c:pt>
                <c:pt idx="3">
                  <c:v>17</c:v>
                </c:pt>
                <c:pt idx="4">
                  <c:v>16.899999999999999</c:v>
                </c:pt>
                <c:pt idx="5">
                  <c:v>16.8</c:v>
                </c:pt>
                <c:pt idx="6">
                  <c:v>16.8</c:v>
                </c:pt>
                <c:pt idx="7">
                  <c:v>16.899999999999999</c:v>
                </c:pt>
                <c:pt idx="8">
                  <c:v>17</c:v>
                </c:pt>
                <c:pt idx="9">
                  <c:v>17.100000000000001</c:v>
                </c:pt>
                <c:pt idx="10">
                  <c:v>17.2</c:v>
                </c:pt>
                <c:pt idx="11">
                  <c:v>17.399999999999999</c:v>
                </c:pt>
                <c:pt idx="12">
                  <c:v>17.600000000000001</c:v>
                </c:pt>
                <c:pt idx="13">
                  <c:v>17.899999999999999</c:v>
                </c:pt>
                <c:pt idx="14">
                  <c:v>18.3</c:v>
                </c:pt>
                <c:pt idx="15">
                  <c:v>18.7</c:v>
                </c:pt>
                <c:pt idx="16">
                  <c:v>19.100000000000001</c:v>
                </c:pt>
                <c:pt idx="17">
                  <c:v>19.5</c:v>
                </c:pt>
                <c:pt idx="18">
                  <c:v>20</c:v>
                </c:pt>
                <c:pt idx="19">
                  <c:v>20.5</c:v>
                </c:pt>
                <c:pt idx="20">
                  <c:v>21</c:v>
                </c:pt>
                <c:pt idx="21">
                  <c:v>21.4</c:v>
                </c:pt>
                <c:pt idx="22">
                  <c:v>21.9</c:v>
                </c:pt>
                <c:pt idx="23">
                  <c:v>22.3</c:v>
                </c:pt>
                <c:pt idx="24">
                  <c:v>22.7</c:v>
                </c:pt>
                <c:pt idx="25">
                  <c:v>23</c:v>
                </c:pt>
                <c:pt idx="26">
                  <c:v>23.3</c:v>
                </c:pt>
                <c:pt idx="27">
                  <c:v>23.6</c:v>
                </c:pt>
                <c:pt idx="28">
                  <c:v>23.8</c:v>
                </c:pt>
                <c:pt idx="29">
                  <c:v>24</c:v>
                </c:pt>
                <c:pt idx="30">
                  <c:v>24.2</c:v>
                </c:pt>
                <c:pt idx="31">
                  <c:v>24.4</c:v>
                </c:pt>
                <c:pt idx="32">
                  <c:v>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39-48ED-8143-6449F0B9EA93}"/>
            </c:ext>
          </c:extLst>
        </c:ser>
        <c:ser>
          <c:idx val="7"/>
          <c:order val="7"/>
          <c:tx>
            <c:strRef>
              <c:f>'百分位指标源数据-女'!$X$1</c:f>
              <c:strCache>
                <c:ptCount val="1"/>
                <c:pt idx="0">
                  <c:v>95th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'百分位指标源数据-女'!$X$2:$X$34</c:f>
              <c:numCache>
                <c:formatCode>General</c:formatCode>
                <c:ptCount val="33"/>
                <c:pt idx="0">
                  <c:v>18.2</c:v>
                </c:pt>
                <c:pt idx="1">
                  <c:v>17.899999999999999</c:v>
                </c:pt>
                <c:pt idx="2">
                  <c:v>17.7</c:v>
                </c:pt>
                <c:pt idx="3">
                  <c:v>17.5</c:v>
                </c:pt>
                <c:pt idx="4">
                  <c:v>17.5</c:v>
                </c:pt>
                <c:pt idx="5">
                  <c:v>17.399999999999999</c:v>
                </c:pt>
                <c:pt idx="6">
                  <c:v>17.5</c:v>
                </c:pt>
                <c:pt idx="7">
                  <c:v>17.5</c:v>
                </c:pt>
                <c:pt idx="8">
                  <c:v>17.600000000000001</c:v>
                </c:pt>
                <c:pt idx="9">
                  <c:v>17.8</c:v>
                </c:pt>
                <c:pt idx="10">
                  <c:v>17.899999999999999</c:v>
                </c:pt>
                <c:pt idx="11">
                  <c:v>18.2</c:v>
                </c:pt>
                <c:pt idx="12">
                  <c:v>18.5</c:v>
                </c:pt>
                <c:pt idx="13">
                  <c:v>18.8</c:v>
                </c:pt>
                <c:pt idx="14">
                  <c:v>19.2</c:v>
                </c:pt>
                <c:pt idx="15">
                  <c:v>19.7</c:v>
                </c:pt>
                <c:pt idx="16">
                  <c:v>20.100000000000001</c:v>
                </c:pt>
                <c:pt idx="17">
                  <c:v>20.7</c:v>
                </c:pt>
                <c:pt idx="18">
                  <c:v>21.2</c:v>
                </c:pt>
                <c:pt idx="19">
                  <c:v>21.7</c:v>
                </c:pt>
                <c:pt idx="20">
                  <c:v>22.3</c:v>
                </c:pt>
                <c:pt idx="21">
                  <c:v>22.8</c:v>
                </c:pt>
                <c:pt idx="22">
                  <c:v>23.2</c:v>
                </c:pt>
                <c:pt idx="23">
                  <c:v>23.7</c:v>
                </c:pt>
                <c:pt idx="24">
                  <c:v>24.1</c:v>
                </c:pt>
                <c:pt idx="25">
                  <c:v>24.5</c:v>
                </c:pt>
                <c:pt idx="26">
                  <c:v>24.8</c:v>
                </c:pt>
                <c:pt idx="27">
                  <c:v>25.1</c:v>
                </c:pt>
                <c:pt idx="28">
                  <c:v>25.3</c:v>
                </c:pt>
                <c:pt idx="29">
                  <c:v>25.5</c:v>
                </c:pt>
                <c:pt idx="30">
                  <c:v>25.7</c:v>
                </c:pt>
                <c:pt idx="31">
                  <c:v>25.9</c:v>
                </c:pt>
                <c:pt idx="32">
                  <c:v>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739-48ED-8143-6449F0B9EA93}"/>
            </c:ext>
          </c:extLst>
        </c:ser>
        <c:ser>
          <c:idx val="8"/>
          <c:order val="8"/>
          <c:tx>
            <c:strRef>
              <c:f>'百分位指标源数据-女'!$Y$1</c:f>
              <c:strCache>
                <c:ptCount val="1"/>
                <c:pt idx="0">
                  <c:v>97th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'百分位指标源数据-女'!$P$2:$P$34</c:f>
              <c:numCache>
                <c:formatCode>General</c:formatCode>
                <c:ptCount val="33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</c:numCache>
            </c:numRef>
          </c:xVal>
          <c:yVal>
            <c:numRef>
              <c:f>'百分位指标源数据-女'!$Y$2:$Y$34</c:f>
              <c:numCache>
                <c:formatCode>General</c:formatCode>
                <c:ptCount val="33"/>
                <c:pt idx="0">
                  <c:v>18.600000000000001</c:v>
                </c:pt>
                <c:pt idx="1">
                  <c:v>18.3</c:v>
                </c:pt>
                <c:pt idx="2">
                  <c:v>18</c:v>
                </c:pt>
                <c:pt idx="3">
                  <c:v>17.899999999999999</c:v>
                </c:pt>
                <c:pt idx="4">
                  <c:v>17.8</c:v>
                </c:pt>
                <c:pt idx="5">
                  <c:v>17.8</c:v>
                </c:pt>
                <c:pt idx="6">
                  <c:v>17.899999999999999</c:v>
                </c:pt>
                <c:pt idx="7">
                  <c:v>18</c:v>
                </c:pt>
                <c:pt idx="8">
                  <c:v>18.100000000000001</c:v>
                </c:pt>
                <c:pt idx="9">
                  <c:v>18.2</c:v>
                </c:pt>
                <c:pt idx="10">
                  <c:v>18.5</c:v>
                </c:pt>
                <c:pt idx="11">
                  <c:v>18.7</c:v>
                </c:pt>
                <c:pt idx="12">
                  <c:v>19</c:v>
                </c:pt>
                <c:pt idx="13">
                  <c:v>19.399999999999999</c:v>
                </c:pt>
                <c:pt idx="14">
                  <c:v>19.899999999999999</c:v>
                </c:pt>
                <c:pt idx="15">
                  <c:v>20.399999999999999</c:v>
                </c:pt>
                <c:pt idx="16">
                  <c:v>20.9</c:v>
                </c:pt>
                <c:pt idx="17">
                  <c:v>21.5</c:v>
                </c:pt>
                <c:pt idx="18">
                  <c:v>22</c:v>
                </c:pt>
                <c:pt idx="19">
                  <c:v>22.6</c:v>
                </c:pt>
                <c:pt idx="20">
                  <c:v>23.2</c:v>
                </c:pt>
                <c:pt idx="21">
                  <c:v>23.7</c:v>
                </c:pt>
                <c:pt idx="22">
                  <c:v>24.2</c:v>
                </c:pt>
                <c:pt idx="23">
                  <c:v>24.7</c:v>
                </c:pt>
                <c:pt idx="24">
                  <c:v>25.1</c:v>
                </c:pt>
                <c:pt idx="25">
                  <c:v>25.5</c:v>
                </c:pt>
                <c:pt idx="26">
                  <c:v>25.9</c:v>
                </c:pt>
                <c:pt idx="27">
                  <c:v>26.1</c:v>
                </c:pt>
                <c:pt idx="28">
                  <c:v>26.4</c:v>
                </c:pt>
                <c:pt idx="29">
                  <c:v>26.6</c:v>
                </c:pt>
                <c:pt idx="30">
                  <c:v>26.8</c:v>
                </c:pt>
                <c:pt idx="31">
                  <c:v>27</c:v>
                </c:pt>
                <c:pt idx="32">
                  <c:v>27.2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739-48ED-8143-6449F0B9EA93}"/>
            </c:ext>
          </c:extLst>
        </c:ser>
        <c:ser>
          <c:idx val="9"/>
          <c:order val="9"/>
          <c:tx>
            <c:v>BMI计算值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  <a:headEnd type="oval" w="sm" len="sm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  <a:headEnd type="oval" w="sm" len="sm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739-48ED-8143-6449F0B9EA93}"/>
              </c:ext>
            </c:extLst>
          </c:dPt>
          <c:dLbls>
            <c:dLbl>
              <c:idx val="0"/>
              <c:layout>
                <c:manualLayout>
                  <c:x val="0.1041545168251006"/>
                  <c:y val="0.12909366284262885"/>
                </c:manualLayout>
              </c:layout>
              <c:tx>
                <c:rich>
                  <a:bodyPr/>
                  <a:lstStyle/>
                  <a:p>
                    <a:fld id="{585F57B3-2CB5-4AA7-8FB3-9F2684E5749E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25C9DBA1-CA3A-4EDE-9164-138762E52174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80993666-F2A6-44A3-AB34-B43956E4728B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739-48ED-8143-6449F0B9EA93}"/>
                </c:ext>
              </c:extLst>
            </c:dLbl>
            <c:dLbl>
              <c:idx val="1"/>
              <c:layout>
                <c:manualLayout>
                  <c:x val="-5.1250635263144738E-2"/>
                  <c:y val="-0.12727544223921169"/>
                </c:manualLayout>
              </c:layout>
              <c:tx>
                <c:rich>
                  <a:bodyPr/>
                  <a:lstStyle/>
                  <a:p>
                    <a:fld id="{DC5D3064-8F15-42F9-B89A-A1ECF7D4A849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319EB4F6-712C-4E52-BE8F-27F0E38544BF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7BA36731-E54F-4CED-ABB8-7E522C811D1E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739-48ED-8143-6449F0B9EA93}"/>
                </c:ext>
              </c:extLst>
            </c:dLbl>
            <c:dLbl>
              <c:idx val="2"/>
              <c:layout>
                <c:manualLayout>
                  <c:x val="0.10746100942272287"/>
                  <c:y val="-0.13091188344604632"/>
                </c:manualLayout>
              </c:layout>
              <c:tx>
                <c:rich>
                  <a:bodyPr/>
                  <a:lstStyle/>
                  <a:p>
                    <a:fld id="{00795077-89CB-4B3D-9DAA-BC216415CA21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69F08C14-ECCD-4B33-8802-387DEEA9CA05}" type="SERIESNAME">
                      <a:rPr lang="en-US" altLang="zh-CN" baseline="0"/>
                      <a:pPr/>
                      <a:t>[系列名称]</a:t>
                    </a:fld>
                    <a:r>
                      <a:rPr lang="en-US" altLang="zh-CN" baseline="0"/>
                      <a:t>, </a:t>
                    </a:r>
                    <a:fld id="{7D80FEF3-1C5A-45AF-B55D-3B67CF89B844}" type="YVALUE">
                      <a:rPr lang="en-US" altLang="zh-CN" baseline="0"/>
                      <a:pPr/>
                      <a:t>[Y 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739-48ED-8143-6449F0B9E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round/>
                      <a:headEnd type="none" w="sm" len="sm"/>
                    </a:ln>
                    <a:effectLst/>
                  </c:spPr>
                </c15:leaderLines>
              </c:ext>
            </c:extLst>
          </c:dLbls>
          <c:xVal>
            <c:numRef>
              <c:f>'0-3岁儿童（女）身高、体重、BMI'!$AB$5:$AB$7</c:f>
              <c:numCache>
                <c:formatCode>General</c:formatCode>
                <c:ptCount val="3"/>
                <c:pt idx="0">
                  <c:v>2</c:v>
                </c:pt>
                <c:pt idx="1">
                  <c:v>2.5</c:v>
                </c:pt>
                <c:pt idx="2">
                  <c:v>3</c:v>
                </c:pt>
              </c:numCache>
            </c:numRef>
          </c:xVal>
          <c:yVal>
            <c:numRef>
              <c:f>'0-3岁儿童（女）身高、体重、BMI'!$AC$5:$AC$7</c:f>
              <c:numCache>
                <c:formatCode>General</c:formatCode>
                <c:ptCount val="3"/>
                <c:pt idx="0">
                  <c:v>15.5</c:v>
                </c:pt>
                <c:pt idx="1">
                  <c:v>16.5</c:v>
                </c:pt>
                <c:pt idx="2">
                  <c:v>15.9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'0-3岁儿童（女）身高、体重、BMI'!$T$5:$T$7</c15:f>
                <c15:dlblRangeCache>
                  <c:ptCount val="3"/>
                  <c:pt idx="0">
                    <c:v>2岁</c:v>
                  </c:pt>
                  <c:pt idx="1">
                    <c:v>2.5岁</c:v>
                  </c:pt>
                  <c:pt idx="2">
                    <c:v>3岁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1739-48ED-8143-6449F0B9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701176"/>
        <c:axId val="1265701896"/>
      </c:scatterChart>
      <c:valAx>
        <c:axId val="126570117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5701896"/>
        <c:crosses val="autoZero"/>
        <c:crossBetween val="midCat"/>
        <c:majorUnit val="0.5"/>
      </c:valAx>
      <c:valAx>
        <c:axId val="126570189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BMI</a:t>
                </a:r>
              </a:p>
            </c:rich>
          </c:tx>
          <c:layout>
            <c:manualLayout>
              <c:xMode val="edge"/>
              <c:yMode val="edge"/>
              <c:x val="3.968253968253968E-2"/>
              <c:y val="3.984113982396495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5701176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13</xdr:row>
      <xdr:rowOff>36830</xdr:rowOff>
    </xdr:from>
    <xdr:to>
      <xdr:col>26</xdr:col>
      <xdr:colOff>22860</xdr:colOff>
      <xdr:row>50</xdr:row>
      <xdr:rowOff>123190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5BD5C33-CF44-6FD1-4B31-2526BA26B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53340</xdr:colOff>
      <xdr:row>13</xdr:row>
      <xdr:rowOff>38100</xdr:rowOff>
    </xdr:from>
    <xdr:to>
      <xdr:col>37</xdr:col>
      <xdr:colOff>419100</xdr:colOff>
      <xdr:row>50</xdr:row>
      <xdr:rowOff>129540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3B070EE-6BA7-4B71-A39C-8DEE020EA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0.00578</cdr:x>
      <cdr:y>0.16723</cdr:y>
    </cdr:from>
    <cdr:ext cx="779780" cy="318096"/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4CCB4676-3000-C873-CE19-7198F21C2E3A}"/>
            </a:ext>
          </a:extLst>
        </cdr:cNvPr>
        <cdr:cNvSpPr txBox="1">
          <a:spLocks xmlns:a="http://schemas.openxmlformats.org/drawingml/2006/main"/>
        </cdr:cNvSpPr>
      </cdr:nvSpPr>
      <cdr:spPr>
        <a:xfrm xmlns:a="http://schemas.openxmlformats.org/drawingml/2006/main">
          <a:off x="63500" y="1098887"/>
          <a:ext cx="779780" cy="3180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vertOverflow="clip" wrap="square" rtlCol="0" anchor="ctr" anchorCtr="0"/>
        <a:lstStyle xmlns:a="http://schemas.openxmlformats.org/drawingml/2006/main"/>
        <a:p xmlns:a="http://schemas.openxmlformats.org/drawingml/2006/main">
          <a:r>
            <a:rPr lang="zh-CN" altLang="en-US" sz="800" b="1" kern="1200"/>
            <a:t>姓名：小明</a:t>
          </a:r>
        </a:p>
      </cdr:txBody>
    </cdr:sp>
  </cdr:absSizeAnchor>
  <cdr:absSizeAnchor xmlns:cdr="http://schemas.openxmlformats.org/drawingml/2006/chartDrawing">
    <cdr:from>
      <cdr:x>0.00578</cdr:x>
      <cdr:y>0.21647</cdr:y>
    </cdr:from>
    <cdr:ext cx="779780" cy="262890"/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24B7C778-E2B0-EF71-181A-D9FD63E7284F}"/>
            </a:ext>
          </a:extLst>
        </cdr:cNvPr>
        <cdr:cNvSpPr txBox="1"/>
      </cdr:nvSpPr>
      <cdr:spPr>
        <a:xfrm xmlns:a="http://schemas.openxmlformats.org/drawingml/2006/main">
          <a:off x="63500" y="1422400"/>
          <a:ext cx="779780" cy="2628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1" kern="1200"/>
            <a:t>性别：男</a:t>
          </a:r>
        </a:p>
      </cdr:txBody>
    </cdr:sp>
  </cdr:absSizeAnchor>
  <cdr:absSizeAnchor xmlns:cdr="http://schemas.openxmlformats.org/drawingml/2006/chartDrawing">
    <cdr:from>
      <cdr:x>0.00578</cdr:x>
      <cdr:y>0.26285</cdr:y>
    </cdr:from>
    <cdr:ext cx="779780" cy="262890"/>
    <cdr:sp macro="" textlink="">
      <cdr:nvSpPr>
        <cdr:cNvPr id="6" name="文本框 1">
          <a:extLst xmlns:a="http://schemas.openxmlformats.org/drawingml/2006/main">
            <a:ext uri="{FF2B5EF4-FFF2-40B4-BE49-F238E27FC236}">
              <a16:creationId xmlns:a16="http://schemas.microsoft.com/office/drawing/2014/main" id="{602E6CA4-C3F0-E18E-6E7B-D4C2944F270E}"/>
            </a:ext>
          </a:extLst>
        </cdr:cNvPr>
        <cdr:cNvSpPr txBox="1"/>
      </cdr:nvSpPr>
      <cdr:spPr>
        <a:xfrm xmlns:a="http://schemas.openxmlformats.org/drawingml/2006/main">
          <a:off x="63500" y="1727200"/>
          <a:ext cx="779780" cy="2628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1" kern="1200"/>
            <a:t>登记号：</a:t>
          </a:r>
          <a:r>
            <a:rPr lang="en-US" altLang="zh-CN" sz="800" b="1" kern="1200"/>
            <a:t>1006110</a:t>
          </a:r>
          <a:endParaRPr lang="zh-CN" altLang="en-US" sz="800" b="1" kern="1200"/>
        </a:p>
      </cdr:txBody>
    </cdr:sp>
  </cdr:absSizeAnchor>
  <cdr:absSizeAnchor xmlns:cdr="http://schemas.openxmlformats.org/drawingml/2006/chartDrawing">
    <cdr:from>
      <cdr:x>0.0052</cdr:x>
      <cdr:y>0.31697</cdr:y>
    </cdr:from>
    <cdr:ext cx="944880" cy="570227"/>
    <cdr:sp macro="" textlink="">
      <cdr:nvSpPr>
        <cdr:cNvPr id="7" name="文本框 1">
          <a:extLst xmlns:a="http://schemas.openxmlformats.org/drawingml/2006/main">
            <a:ext uri="{FF2B5EF4-FFF2-40B4-BE49-F238E27FC236}">
              <a16:creationId xmlns:a16="http://schemas.microsoft.com/office/drawing/2014/main" id="{602E6CA4-C3F0-E18E-6E7B-D4C2944F270E}"/>
            </a:ext>
          </a:extLst>
        </cdr:cNvPr>
        <cdr:cNvSpPr txBox="1"/>
      </cdr:nvSpPr>
      <cdr:spPr>
        <a:xfrm xmlns:a="http://schemas.openxmlformats.org/drawingml/2006/main">
          <a:off x="57150" y="2082800"/>
          <a:ext cx="944880" cy="5702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t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1" kern="1200"/>
            <a:t>检查时间：</a:t>
          </a:r>
          <a:endParaRPr lang="en-US" altLang="zh-CN" sz="800" b="1" kern="1200"/>
        </a:p>
        <a:p xmlns:a="http://schemas.openxmlformats.org/drawingml/2006/main">
          <a:r>
            <a:rPr lang="en-US" altLang="zh-CN" sz="800" b="1" kern="1200"/>
            <a:t>2025</a:t>
          </a:r>
          <a:r>
            <a:rPr lang="zh-CN" altLang="en-US" sz="800" b="1" kern="1200"/>
            <a:t>年 </a:t>
          </a:r>
          <a:r>
            <a:rPr lang="en-US" altLang="zh-CN" sz="800" b="1" kern="1200"/>
            <a:t>6</a:t>
          </a:r>
          <a:r>
            <a:rPr lang="zh-CN" altLang="en-US" sz="800" b="1" kern="1200"/>
            <a:t>月</a:t>
          </a:r>
          <a:r>
            <a:rPr lang="en-US" altLang="zh-CN" sz="800" b="1" kern="1200"/>
            <a:t>30</a:t>
          </a:r>
          <a:r>
            <a:rPr lang="zh-CN" altLang="en-US" sz="800" b="1" kern="1200"/>
            <a:t> 日</a:t>
          </a:r>
        </a:p>
      </cdr:txBody>
    </cdr:sp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93137</xdr:colOff>
      <xdr:row>6</xdr:row>
      <xdr:rowOff>76198</xdr:rowOff>
    </xdr:from>
    <xdr:to>
      <xdr:col>37</xdr:col>
      <xdr:colOff>279402</xdr:colOff>
      <xdr:row>45</xdr:row>
      <xdr:rowOff>84665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9E2AC63-788E-BCE9-597D-E7F4CF6C4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3586</xdr:colOff>
      <xdr:row>13</xdr:row>
      <xdr:rowOff>15241</xdr:rowOff>
    </xdr:from>
    <xdr:to>
      <xdr:col>25</xdr:col>
      <xdr:colOff>582706</xdr:colOff>
      <xdr:row>52</xdr:row>
      <xdr:rowOff>7621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9BF8CFC-3368-89CB-3FF9-D57E1C5A2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596601</xdr:colOff>
      <xdr:row>13</xdr:row>
      <xdr:rowOff>24204</xdr:rowOff>
    </xdr:from>
    <xdr:to>
      <xdr:col>37</xdr:col>
      <xdr:colOff>398481</xdr:colOff>
      <xdr:row>52</xdr:row>
      <xdr:rowOff>16584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151003-0411-48A0-A904-FB2EB8738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0.00498</cdr:x>
      <cdr:y>0.31882</cdr:y>
    </cdr:from>
    <cdr:to>
      <cdr:x>0.07329</cdr:x>
      <cdr:y>0.36541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F1D7038C-6B1D-F8A5-031D-DC682BF11B75}"/>
            </a:ext>
          </a:extLst>
        </cdr:cNvPr>
        <cdr:cNvSpPr txBox="1">
          <a:spLocks xmlns:a="http://schemas.openxmlformats.org/drawingml/2006/main"/>
        </cdr:cNvSpPr>
      </cdr:nvSpPr>
      <cdr:spPr>
        <a:xfrm xmlns:a="http://schemas.openxmlformats.org/drawingml/2006/main">
          <a:off x="56859" y="2176780"/>
          <a:ext cx="779780" cy="3180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1" kern="1200"/>
            <a:t>姓名：小红</a:t>
          </a:r>
        </a:p>
      </cdr:txBody>
    </cdr:sp>
  </cdr:relSizeAnchor>
  <cdr:absSizeAnchor xmlns:cdr="http://schemas.openxmlformats.org/drawingml/2006/chartDrawing">
    <cdr:from>
      <cdr:x>0.00498</cdr:x>
      <cdr:y>0.36621</cdr:y>
    </cdr:from>
    <cdr:ext cx="779780" cy="262890"/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EA0A9D88-EF3A-AFD2-D35B-851A411C83CB}"/>
            </a:ext>
          </a:extLst>
        </cdr:cNvPr>
        <cdr:cNvSpPr txBox="1"/>
      </cdr:nvSpPr>
      <cdr:spPr>
        <a:xfrm xmlns:a="http://schemas.openxmlformats.org/drawingml/2006/main">
          <a:off x="56859" y="2500335"/>
          <a:ext cx="779780" cy="2628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1" kern="1200"/>
            <a:t>性别：女</a:t>
          </a:r>
        </a:p>
      </cdr:txBody>
    </cdr:sp>
  </cdr:absSizeAnchor>
  <cdr:absSizeAnchor xmlns:cdr="http://schemas.openxmlformats.org/drawingml/2006/chartDrawing">
    <cdr:from>
      <cdr:x>0.00498</cdr:x>
      <cdr:y>0.41085</cdr:y>
    </cdr:from>
    <cdr:ext cx="779780" cy="262890"/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DF810188-6BF0-689C-473C-A6940B8905AB}"/>
            </a:ext>
          </a:extLst>
        </cdr:cNvPr>
        <cdr:cNvSpPr txBox="1"/>
      </cdr:nvSpPr>
      <cdr:spPr>
        <a:xfrm xmlns:a="http://schemas.openxmlformats.org/drawingml/2006/main">
          <a:off x="56859" y="2805097"/>
          <a:ext cx="779780" cy="2628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1" kern="1200"/>
            <a:t>登记号：</a:t>
          </a:r>
          <a:r>
            <a:rPr lang="en-US" altLang="zh-CN" sz="800" b="1" kern="1200"/>
            <a:t>1006110</a:t>
          </a:r>
          <a:endParaRPr lang="zh-CN" altLang="en-US" sz="800" b="1" kern="1200"/>
        </a:p>
      </cdr:txBody>
    </cdr:sp>
  </cdr:absSizeAnchor>
  <cdr:absSizeAnchor xmlns:cdr="http://schemas.openxmlformats.org/drawingml/2006/chartDrawing">
    <cdr:from>
      <cdr:x>0.00445</cdr:x>
      <cdr:y>0.46294</cdr:y>
    </cdr:from>
    <cdr:ext cx="944880" cy="570227"/>
    <cdr:sp macro="" textlink="">
      <cdr:nvSpPr>
        <cdr:cNvPr id="5" name="文本框 1">
          <a:extLst xmlns:a="http://schemas.openxmlformats.org/drawingml/2006/main">
            <a:ext uri="{FF2B5EF4-FFF2-40B4-BE49-F238E27FC236}">
              <a16:creationId xmlns:a16="http://schemas.microsoft.com/office/drawing/2014/main" id="{5C13CC06-E353-0C66-502E-A5241D34B6EA}"/>
            </a:ext>
          </a:extLst>
        </cdr:cNvPr>
        <cdr:cNvSpPr txBox="1"/>
      </cdr:nvSpPr>
      <cdr:spPr>
        <a:xfrm xmlns:a="http://schemas.openxmlformats.org/drawingml/2006/main">
          <a:off x="50800" y="3160719"/>
          <a:ext cx="944880" cy="5702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txBody>
        <a:bodyPr xmlns:a="http://schemas.openxmlformats.org/drawingml/2006/main" wrap="square" rtlCol="0" anchor="t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 b="1" kern="1200"/>
            <a:t>检查时间：</a:t>
          </a:r>
          <a:endParaRPr lang="en-US" altLang="zh-CN" sz="800" b="1" kern="1200"/>
        </a:p>
        <a:p xmlns:a="http://schemas.openxmlformats.org/drawingml/2006/main">
          <a:r>
            <a:rPr lang="en-US" altLang="zh-CN" sz="800" b="1" kern="1200"/>
            <a:t>2024</a:t>
          </a:r>
          <a:r>
            <a:rPr lang="zh-CN" altLang="en-US" sz="800" b="1" kern="1200"/>
            <a:t>年 </a:t>
          </a:r>
          <a:r>
            <a:rPr lang="en-US" altLang="zh-CN" sz="800" b="1" kern="1200"/>
            <a:t>6</a:t>
          </a:r>
          <a:r>
            <a:rPr lang="zh-CN" altLang="en-US" sz="800" b="1" kern="1200"/>
            <a:t>月</a:t>
          </a:r>
          <a:r>
            <a:rPr lang="en-US" altLang="zh-CN" sz="800" b="1" kern="1200"/>
            <a:t>30</a:t>
          </a:r>
          <a:r>
            <a:rPr lang="zh-CN" altLang="en-US" sz="800" b="1" kern="1200"/>
            <a:t> 日</a:t>
          </a:r>
        </a:p>
      </cdr:txBody>
    </cdr:sp>
  </cdr:abs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42"/>
  <sheetViews>
    <sheetView tabSelected="1" zoomScale="90" zoomScaleNormal="90" workbookViewId="0">
      <selection activeCell="G20" sqref="G20"/>
    </sheetView>
  </sheetViews>
  <sheetFormatPr defaultRowHeight="13.8" x14ac:dyDescent="0.25"/>
  <cols>
    <col min="1" max="1" width="7.77734375" bestFit="1" customWidth="1"/>
    <col min="2" max="15" width="4.77734375" bestFit="1" customWidth="1"/>
    <col min="16" max="16" width="7.88671875" bestFit="1" customWidth="1"/>
    <col min="17" max="18" width="4.77734375" bestFit="1" customWidth="1"/>
    <col min="19" max="24" width="5" bestFit="1" customWidth="1"/>
    <col min="25" max="25" width="5" customWidth="1"/>
  </cols>
  <sheetData>
    <row r="1" spans="1:25" ht="22.8" customHeight="1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</v>
      </c>
      <c r="J1" s="10" t="s">
        <v>2</v>
      </c>
      <c r="K1" s="10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7" t="s">
        <v>56</v>
      </c>
      <c r="Q1" s="8" t="s">
        <v>1</v>
      </c>
      <c r="R1" s="8" t="s">
        <v>15</v>
      </c>
      <c r="S1" s="8" t="s">
        <v>2</v>
      </c>
      <c r="T1" s="8" t="s">
        <v>16</v>
      </c>
      <c r="U1" s="8" t="s">
        <v>4</v>
      </c>
      <c r="V1" s="8" t="s">
        <v>17</v>
      </c>
      <c r="W1" s="8" t="s">
        <v>6</v>
      </c>
      <c r="X1" s="8" t="s">
        <v>18</v>
      </c>
      <c r="Y1" s="8" t="s">
        <v>7</v>
      </c>
    </row>
    <row r="2" spans="1:25" ht="14.4" thickBot="1" x14ac:dyDescent="0.3">
      <c r="A2" s="25">
        <v>0</v>
      </c>
      <c r="B2" s="12">
        <v>47.1</v>
      </c>
      <c r="C2" s="12">
        <v>48.1</v>
      </c>
      <c r="D2" s="12">
        <v>49.2</v>
      </c>
      <c r="E2" s="12">
        <v>50.4</v>
      </c>
      <c r="F2" s="12">
        <v>51.6</v>
      </c>
      <c r="G2" s="12">
        <v>52.7</v>
      </c>
      <c r="H2" s="12">
        <v>53.8</v>
      </c>
      <c r="I2" s="12">
        <v>2.62</v>
      </c>
      <c r="J2" s="12">
        <v>2.83</v>
      </c>
      <c r="K2" s="12">
        <v>3.06</v>
      </c>
      <c r="L2" s="12">
        <v>3.32</v>
      </c>
      <c r="M2" s="12">
        <v>3.59</v>
      </c>
      <c r="N2" s="12">
        <v>3.85</v>
      </c>
      <c r="O2" s="12">
        <v>4.12</v>
      </c>
      <c r="P2" s="3">
        <v>2</v>
      </c>
      <c r="Q2" s="4">
        <v>14.3</v>
      </c>
      <c r="R2" s="4">
        <v>14.5</v>
      </c>
      <c r="S2" s="4">
        <v>14.9</v>
      </c>
      <c r="T2" s="4">
        <v>15.1</v>
      </c>
      <c r="U2" s="4">
        <v>16.3</v>
      </c>
      <c r="V2" s="4">
        <v>17.7</v>
      </c>
      <c r="W2" s="4">
        <v>18.100000000000001</v>
      </c>
      <c r="X2" s="4">
        <v>18.600000000000001</v>
      </c>
      <c r="Y2" s="4">
        <v>19</v>
      </c>
    </row>
    <row r="3" spans="1:25" ht="14.4" thickBot="1" x14ac:dyDescent="0.3">
      <c r="A3" s="1" t="s">
        <v>91</v>
      </c>
      <c r="B3" s="12">
        <v>54.6</v>
      </c>
      <c r="C3" s="12">
        <v>55.9</v>
      </c>
      <c r="D3" s="12">
        <v>57.2</v>
      </c>
      <c r="E3" s="12">
        <v>58.7</v>
      </c>
      <c r="F3" s="12">
        <v>60.3</v>
      </c>
      <c r="G3" s="12">
        <v>61.7</v>
      </c>
      <c r="H3" s="12">
        <v>63</v>
      </c>
      <c r="I3" s="12">
        <v>4.53</v>
      </c>
      <c r="J3" s="12">
        <v>4.88</v>
      </c>
      <c r="K3" s="12">
        <v>5.25</v>
      </c>
      <c r="L3" s="12">
        <v>5.68</v>
      </c>
      <c r="M3" s="12">
        <v>6.15</v>
      </c>
      <c r="N3" s="12">
        <v>6.59</v>
      </c>
      <c r="O3" s="12">
        <v>7.05</v>
      </c>
      <c r="P3" s="3">
        <v>2.5</v>
      </c>
      <c r="Q3" s="4">
        <v>14</v>
      </c>
      <c r="R3" s="4">
        <v>14.2</v>
      </c>
      <c r="S3" s="4">
        <v>14.6</v>
      </c>
      <c r="T3" s="4">
        <v>14.8</v>
      </c>
      <c r="U3" s="4">
        <v>16</v>
      </c>
      <c r="V3" s="4">
        <v>17.3</v>
      </c>
      <c r="W3" s="4">
        <v>17.7</v>
      </c>
      <c r="X3" s="4">
        <v>18.2</v>
      </c>
      <c r="Y3" s="4">
        <v>18.600000000000001</v>
      </c>
    </row>
    <row r="4" spans="1:25" ht="14.4" thickBot="1" x14ac:dyDescent="0.3">
      <c r="A4" s="1" t="s">
        <v>8</v>
      </c>
      <c r="B4" s="12">
        <v>60.3</v>
      </c>
      <c r="C4" s="12">
        <v>61.7</v>
      </c>
      <c r="D4" s="12">
        <v>63</v>
      </c>
      <c r="E4" s="12">
        <v>64.599999999999994</v>
      </c>
      <c r="F4" s="12">
        <v>66.2</v>
      </c>
      <c r="G4" s="12">
        <v>67.599999999999994</v>
      </c>
      <c r="H4" s="12">
        <v>69</v>
      </c>
      <c r="I4" s="12">
        <v>5.99</v>
      </c>
      <c r="J4" s="12">
        <v>6.43</v>
      </c>
      <c r="K4" s="12">
        <v>6.9</v>
      </c>
      <c r="L4" s="12">
        <v>7.45</v>
      </c>
      <c r="M4" s="12">
        <v>8.0399999999999991</v>
      </c>
      <c r="N4" s="12">
        <v>8.61</v>
      </c>
      <c r="O4" s="12">
        <v>9.1999999999999993</v>
      </c>
      <c r="P4" s="3">
        <v>3</v>
      </c>
      <c r="Q4" s="4">
        <v>13.7</v>
      </c>
      <c r="R4" s="4">
        <v>14</v>
      </c>
      <c r="S4" s="4">
        <v>14.3</v>
      </c>
      <c r="T4" s="4">
        <v>14.5</v>
      </c>
      <c r="U4" s="4">
        <v>15.7</v>
      </c>
      <c r="V4" s="4">
        <v>17</v>
      </c>
      <c r="W4" s="4">
        <v>17.3</v>
      </c>
      <c r="X4" s="4">
        <v>17.899999999999999</v>
      </c>
      <c r="Y4" s="4">
        <v>18.2</v>
      </c>
    </row>
    <row r="5" spans="1:25" ht="14.4" thickBot="1" x14ac:dyDescent="0.3">
      <c r="A5" s="1" t="s">
        <v>9</v>
      </c>
      <c r="B5" s="12">
        <v>64</v>
      </c>
      <c r="C5" s="12">
        <v>65.400000000000006</v>
      </c>
      <c r="D5" s="12">
        <v>66.8</v>
      </c>
      <c r="E5" s="12">
        <v>68.400000000000006</v>
      </c>
      <c r="F5" s="12">
        <v>70</v>
      </c>
      <c r="G5" s="12">
        <v>71.5</v>
      </c>
      <c r="H5" s="12">
        <v>73</v>
      </c>
      <c r="I5" s="12">
        <v>6.8</v>
      </c>
      <c r="J5" s="12">
        <v>7.28</v>
      </c>
      <c r="K5" s="12">
        <v>7.8</v>
      </c>
      <c r="L5" s="12">
        <v>8.41</v>
      </c>
      <c r="M5" s="12">
        <v>9.07</v>
      </c>
      <c r="N5" s="12">
        <v>9.6999999999999993</v>
      </c>
      <c r="O5" s="12">
        <v>10.37</v>
      </c>
      <c r="P5" s="3">
        <v>3.5</v>
      </c>
      <c r="Q5" s="4">
        <v>13.5</v>
      </c>
      <c r="R5" s="4">
        <v>13.8</v>
      </c>
      <c r="S5" s="4">
        <v>14.1</v>
      </c>
      <c r="T5" s="4">
        <v>14.3</v>
      </c>
      <c r="U5" s="4">
        <v>15.5</v>
      </c>
      <c r="V5" s="4">
        <v>16.8</v>
      </c>
      <c r="W5" s="4">
        <v>17.100000000000001</v>
      </c>
      <c r="X5" s="4">
        <v>17.600000000000001</v>
      </c>
      <c r="Y5" s="4">
        <v>18</v>
      </c>
    </row>
    <row r="6" spans="1:25" ht="14.4" thickBot="1" x14ac:dyDescent="0.3">
      <c r="A6" s="1" t="s">
        <v>10</v>
      </c>
      <c r="B6" s="12">
        <v>67.900000000000006</v>
      </c>
      <c r="C6" s="12">
        <v>69.400000000000006</v>
      </c>
      <c r="D6" s="12">
        <v>70.900000000000006</v>
      </c>
      <c r="E6" s="12">
        <v>72.599999999999994</v>
      </c>
      <c r="F6" s="12">
        <v>74.400000000000006</v>
      </c>
      <c r="G6" s="12">
        <v>75.900000000000006</v>
      </c>
      <c r="H6" s="12">
        <v>77.5</v>
      </c>
      <c r="I6" s="12">
        <v>7.56</v>
      </c>
      <c r="J6" s="12">
        <v>8.09</v>
      </c>
      <c r="K6" s="12">
        <v>8.66</v>
      </c>
      <c r="L6" s="12">
        <v>9.33</v>
      </c>
      <c r="M6" s="12">
        <v>10.06</v>
      </c>
      <c r="N6" s="12">
        <v>10.75</v>
      </c>
      <c r="O6" s="12">
        <v>11.49</v>
      </c>
      <c r="P6" s="3">
        <v>4</v>
      </c>
      <c r="Q6" s="4">
        <v>13.4</v>
      </c>
      <c r="R6" s="4">
        <v>13.6</v>
      </c>
      <c r="S6" s="4">
        <v>14</v>
      </c>
      <c r="T6" s="4">
        <v>14.2</v>
      </c>
      <c r="U6" s="4">
        <v>15.3</v>
      </c>
      <c r="V6" s="4">
        <v>16.7</v>
      </c>
      <c r="W6" s="4">
        <v>17</v>
      </c>
      <c r="X6" s="4">
        <v>17.600000000000001</v>
      </c>
      <c r="Y6" s="4">
        <v>17.899999999999999</v>
      </c>
    </row>
    <row r="7" spans="1:25" ht="14.4" thickBot="1" x14ac:dyDescent="0.3">
      <c r="A7" s="1" t="s">
        <v>11</v>
      </c>
      <c r="B7" s="12">
        <v>71.5</v>
      </c>
      <c r="C7" s="12">
        <v>73.099999999999994</v>
      </c>
      <c r="D7" s="12">
        <v>74.7</v>
      </c>
      <c r="E7" s="12">
        <v>76.5</v>
      </c>
      <c r="F7" s="12">
        <v>78.400000000000006</v>
      </c>
      <c r="G7" s="12">
        <v>80.099999999999994</v>
      </c>
      <c r="H7" s="12">
        <v>81.8</v>
      </c>
      <c r="I7" s="12">
        <v>8.16</v>
      </c>
      <c r="J7" s="12">
        <v>8.7200000000000006</v>
      </c>
      <c r="K7" s="12">
        <v>9.33</v>
      </c>
      <c r="L7" s="12">
        <v>10.050000000000001</v>
      </c>
      <c r="M7" s="12">
        <v>10.83</v>
      </c>
      <c r="N7" s="12">
        <v>11.58</v>
      </c>
      <c r="O7" s="12">
        <v>12.37</v>
      </c>
      <c r="P7" s="3">
        <v>4.5</v>
      </c>
      <c r="Q7" s="4">
        <v>13.3</v>
      </c>
      <c r="R7" s="4">
        <v>13.5</v>
      </c>
      <c r="S7" s="4">
        <v>13.8</v>
      </c>
      <c r="T7" s="4">
        <v>14.1</v>
      </c>
      <c r="U7" s="4">
        <v>15.2</v>
      </c>
      <c r="V7" s="4">
        <v>16.600000000000001</v>
      </c>
      <c r="W7" s="4">
        <v>17</v>
      </c>
      <c r="X7" s="4">
        <v>17.5</v>
      </c>
      <c r="Y7" s="4">
        <v>17.899999999999999</v>
      </c>
    </row>
    <row r="8" spans="1:25" ht="14.4" thickBot="1" x14ac:dyDescent="0.3">
      <c r="A8" s="1" t="s">
        <v>12</v>
      </c>
      <c r="B8" s="12">
        <v>74.400000000000006</v>
      </c>
      <c r="C8" s="12">
        <v>76.099999999999994</v>
      </c>
      <c r="D8" s="12">
        <v>77.8</v>
      </c>
      <c r="E8" s="12">
        <v>79.8</v>
      </c>
      <c r="F8" s="12">
        <v>81.8</v>
      </c>
      <c r="G8" s="12">
        <v>83.6</v>
      </c>
      <c r="H8" s="12">
        <v>85.4</v>
      </c>
      <c r="I8" s="12">
        <v>8.68</v>
      </c>
      <c r="J8" s="12">
        <v>9.27</v>
      </c>
      <c r="K8" s="12">
        <v>9.91</v>
      </c>
      <c r="L8" s="12">
        <v>10.68</v>
      </c>
      <c r="M8" s="12">
        <v>11.51</v>
      </c>
      <c r="N8" s="12">
        <v>12.3</v>
      </c>
      <c r="O8" s="12">
        <v>13.15</v>
      </c>
      <c r="P8" s="3">
        <v>5</v>
      </c>
      <c r="Q8" s="4">
        <v>13.2</v>
      </c>
      <c r="R8" s="4">
        <v>13.4</v>
      </c>
      <c r="S8" s="4">
        <v>13.8</v>
      </c>
      <c r="T8" s="4">
        <v>14</v>
      </c>
      <c r="U8" s="4">
        <v>15.3</v>
      </c>
      <c r="V8" s="4">
        <v>16.7</v>
      </c>
      <c r="W8" s="4">
        <v>17</v>
      </c>
      <c r="X8" s="4">
        <v>17.600000000000001</v>
      </c>
      <c r="Y8" s="4">
        <v>18.100000000000001</v>
      </c>
    </row>
    <row r="9" spans="1:25" ht="14.4" thickBot="1" x14ac:dyDescent="0.3">
      <c r="A9" s="1" t="s">
        <v>13</v>
      </c>
      <c r="B9" s="12">
        <v>76.900000000000006</v>
      </c>
      <c r="C9" s="12">
        <v>78.7</v>
      </c>
      <c r="D9" s="12">
        <v>80.599999999999994</v>
      </c>
      <c r="E9" s="12">
        <v>82.7</v>
      </c>
      <c r="F9" s="12">
        <v>84.8</v>
      </c>
      <c r="G9" s="12">
        <v>86.7</v>
      </c>
      <c r="H9" s="12">
        <v>88.7</v>
      </c>
      <c r="I9" s="12">
        <v>9.19</v>
      </c>
      <c r="J9" s="12">
        <v>9.81</v>
      </c>
      <c r="K9" s="12">
        <v>10.48</v>
      </c>
      <c r="L9" s="12">
        <v>11.29</v>
      </c>
      <c r="M9" s="12">
        <v>12.16</v>
      </c>
      <c r="N9" s="12">
        <v>13.01</v>
      </c>
      <c r="O9" s="12">
        <v>13.9</v>
      </c>
      <c r="P9" s="3">
        <v>5.5</v>
      </c>
      <c r="Q9" s="4">
        <v>13.2</v>
      </c>
      <c r="R9" s="4">
        <v>13.4</v>
      </c>
      <c r="S9" s="4">
        <v>13.8</v>
      </c>
      <c r="T9" s="4">
        <v>14</v>
      </c>
      <c r="U9" s="4">
        <v>15.3</v>
      </c>
      <c r="V9" s="4">
        <v>16.8</v>
      </c>
      <c r="W9" s="4">
        <v>17.2</v>
      </c>
      <c r="X9" s="4">
        <v>18.100000000000001</v>
      </c>
      <c r="Y9" s="4">
        <v>18.600000000000001</v>
      </c>
    </row>
    <row r="10" spans="1:25" ht="14.4" thickBot="1" x14ac:dyDescent="0.3">
      <c r="A10" s="1" t="s">
        <v>14</v>
      </c>
      <c r="B10" s="12">
        <v>79.5</v>
      </c>
      <c r="C10" s="12">
        <v>81.400000000000006</v>
      </c>
      <c r="D10" s="12">
        <v>83.4</v>
      </c>
      <c r="E10" s="12">
        <v>85.6</v>
      </c>
      <c r="F10" s="12">
        <v>87.9</v>
      </c>
      <c r="G10" s="12">
        <v>90</v>
      </c>
      <c r="H10" s="12">
        <v>92</v>
      </c>
      <c r="I10" s="12">
        <v>9.7100000000000009</v>
      </c>
      <c r="J10" s="12">
        <v>10.37</v>
      </c>
      <c r="K10" s="12">
        <v>11.08</v>
      </c>
      <c r="L10" s="12">
        <v>11.93</v>
      </c>
      <c r="M10" s="12">
        <v>12.86</v>
      </c>
      <c r="N10" s="12">
        <v>13.75</v>
      </c>
      <c r="O10" s="12">
        <v>14.7</v>
      </c>
      <c r="P10" s="3">
        <v>6</v>
      </c>
      <c r="Q10" s="4">
        <v>13.1</v>
      </c>
      <c r="R10" s="4">
        <v>13.4</v>
      </c>
      <c r="S10" s="4">
        <v>13.7</v>
      </c>
      <c r="T10" s="4">
        <v>14</v>
      </c>
      <c r="U10" s="4">
        <v>15.3</v>
      </c>
      <c r="V10" s="4">
        <v>17</v>
      </c>
      <c r="W10" s="4">
        <v>17.399999999999999</v>
      </c>
      <c r="X10" s="4">
        <v>18.100000000000001</v>
      </c>
      <c r="Y10" s="4">
        <v>18.600000000000001</v>
      </c>
    </row>
    <row r="11" spans="1:25" ht="14.4" thickBot="1" x14ac:dyDescent="0.3">
      <c r="A11" s="1" t="s">
        <v>33</v>
      </c>
      <c r="B11" s="12">
        <v>82.1</v>
      </c>
      <c r="C11" s="12">
        <v>84.1</v>
      </c>
      <c r="D11" s="12">
        <v>86.2</v>
      </c>
      <c r="E11" s="12">
        <v>88.5</v>
      </c>
      <c r="F11" s="12">
        <v>90.9</v>
      </c>
      <c r="G11" s="12">
        <v>93.1</v>
      </c>
      <c r="H11" s="12">
        <v>95.3</v>
      </c>
      <c r="I11" s="12">
        <v>10.220000000000001</v>
      </c>
      <c r="J11" s="12">
        <v>10.9</v>
      </c>
      <c r="K11" s="12">
        <v>11.65</v>
      </c>
      <c r="L11" s="12">
        <v>12.54</v>
      </c>
      <c r="M11" s="12">
        <v>13.51</v>
      </c>
      <c r="N11" s="12">
        <v>14.46</v>
      </c>
      <c r="O11" s="12">
        <v>15.46</v>
      </c>
      <c r="P11" s="3">
        <v>6.5</v>
      </c>
      <c r="Q11" s="4">
        <v>13.1</v>
      </c>
      <c r="R11" s="4">
        <v>13.3</v>
      </c>
      <c r="S11" s="4">
        <v>13.8</v>
      </c>
      <c r="T11" s="4">
        <v>14</v>
      </c>
      <c r="U11" s="4">
        <v>15.5</v>
      </c>
      <c r="V11" s="4">
        <v>17.2</v>
      </c>
      <c r="W11" s="4">
        <v>17.7</v>
      </c>
      <c r="X11" s="4">
        <v>18.399999999999999</v>
      </c>
      <c r="Y11" s="4">
        <v>19</v>
      </c>
    </row>
    <row r="12" spans="1:25" ht="14.4" thickBot="1" x14ac:dyDescent="0.3">
      <c r="A12" s="1" t="s">
        <v>47</v>
      </c>
      <c r="B12" s="12">
        <v>86.4</v>
      </c>
      <c r="C12" s="12">
        <v>88.6</v>
      </c>
      <c r="D12" s="12">
        <v>90.8</v>
      </c>
      <c r="E12" s="12">
        <v>93.3</v>
      </c>
      <c r="F12" s="12">
        <v>95.9</v>
      </c>
      <c r="G12" s="12">
        <v>98.2</v>
      </c>
      <c r="H12" s="12">
        <v>100.5</v>
      </c>
      <c r="I12" s="12">
        <v>11.11</v>
      </c>
      <c r="J12" s="12">
        <v>11.85</v>
      </c>
      <c r="K12" s="12">
        <v>12.66</v>
      </c>
      <c r="L12" s="12">
        <v>13.64</v>
      </c>
      <c r="M12" s="12">
        <v>14.7</v>
      </c>
      <c r="N12" s="12">
        <v>15.73</v>
      </c>
      <c r="O12" s="12">
        <v>16.829999999999998</v>
      </c>
      <c r="P12" s="3">
        <v>7</v>
      </c>
      <c r="Q12" s="4">
        <v>13.1</v>
      </c>
      <c r="R12" s="4">
        <v>13.4</v>
      </c>
      <c r="S12" s="4">
        <v>13.8</v>
      </c>
      <c r="T12" s="4">
        <v>14.1</v>
      </c>
      <c r="U12" s="4">
        <v>15.6</v>
      </c>
      <c r="V12" s="4">
        <v>17.5</v>
      </c>
      <c r="W12" s="4">
        <v>18</v>
      </c>
      <c r="X12" s="4">
        <v>18.8</v>
      </c>
      <c r="Y12" s="4">
        <v>19.399999999999999</v>
      </c>
    </row>
    <row r="13" spans="1:25" ht="14.4" thickBot="1" x14ac:dyDescent="0.3">
      <c r="A13" s="1" t="s">
        <v>31</v>
      </c>
      <c r="B13" s="12">
        <v>89.7</v>
      </c>
      <c r="C13" s="12">
        <v>91.9</v>
      </c>
      <c r="D13" s="12">
        <v>94.2</v>
      </c>
      <c r="E13" s="12">
        <v>96.8</v>
      </c>
      <c r="F13" s="12">
        <v>99.4</v>
      </c>
      <c r="G13" s="12">
        <v>101.8</v>
      </c>
      <c r="H13" s="12">
        <v>104.1</v>
      </c>
      <c r="I13" s="12">
        <v>11.94</v>
      </c>
      <c r="J13" s="12">
        <v>12.74</v>
      </c>
      <c r="K13" s="12">
        <v>13.61</v>
      </c>
      <c r="L13" s="12">
        <v>14.65</v>
      </c>
      <c r="M13" s="12">
        <v>15.8</v>
      </c>
      <c r="N13" s="12">
        <v>16.920000000000002</v>
      </c>
      <c r="O13" s="12">
        <v>18.12</v>
      </c>
      <c r="P13" s="3">
        <v>7.5</v>
      </c>
      <c r="Q13" s="4">
        <v>13.1</v>
      </c>
      <c r="R13" s="4">
        <v>13.4</v>
      </c>
      <c r="S13" s="4">
        <v>13.9</v>
      </c>
      <c r="T13" s="4">
        <v>14.2</v>
      </c>
      <c r="U13" s="4">
        <v>15.8</v>
      </c>
      <c r="V13" s="4">
        <v>17.8</v>
      </c>
      <c r="W13" s="4">
        <v>18.3</v>
      </c>
      <c r="X13" s="4">
        <v>19.2</v>
      </c>
      <c r="Y13" s="4">
        <v>19.899999999999999</v>
      </c>
    </row>
    <row r="14" spans="1:25" ht="14.4" thickBot="1" x14ac:dyDescent="0.3">
      <c r="A14" s="1" t="s">
        <v>58</v>
      </c>
      <c r="B14" s="12">
        <v>93.4</v>
      </c>
      <c r="C14" s="12">
        <v>95.7</v>
      </c>
      <c r="D14" s="12">
        <v>98</v>
      </c>
      <c r="E14" s="12">
        <v>100.6</v>
      </c>
      <c r="F14" s="12">
        <v>103.2</v>
      </c>
      <c r="G14" s="12">
        <v>105.7</v>
      </c>
      <c r="H14" s="12">
        <v>108.1</v>
      </c>
      <c r="I14" s="12">
        <v>12.73</v>
      </c>
      <c r="J14" s="12">
        <v>13.58</v>
      </c>
      <c r="K14" s="12">
        <v>14.51</v>
      </c>
      <c r="L14" s="12">
        <v>15.63</v>
      </c>
      <c r="M14" s="12">
        <v>16.86</v>
      </c>
      <c r="N14" s="12">
        <v>18.079999999999998</v>
      </c>
      <c r="O14" s="12">
        <v>19.38</v>
      </c>
      <c r="P14" s="3">
        <v>8</v>
      </c>
      <c r="Q14" s="4">
        <v>13.2</v>
      </c>
      <c r="R14" s="4">
        <v>13.5</v>
      </c>
      <c r="S14" s="4">
        <v>13.9</v>
      </c>
      <c r="T14" s="4">
        <v>14.3</v>
      </c>
      <c r="U14" s="4">
        <v>16</v>
      </c>
      <c r="V14" s="4">
        <v>18.100000000000001</v>
      </c>
      <c r="W14" s="4">
        <v>18.7</v>
      </c>
      <c r="X14" s="4">
        <v>19.7</v>
      </c>
      <c r="Y14" s="4">
        <v>20.399999999999999</v>
      </c>
    </row>
    <row r="15" spans="1:25" ht="14.4" thickBot="1" x14ac:dyDescent="0.3">
      <c r="A15" s="1" t="s">
        <v>59</v>
      </c>
      <c r="B15" s="12">
        <v>96.7</v>
      </c>
      <c r="C15" s="12">
        <v>99.1</v>
      </c>
      <c r="D15" s="12">
        <v>101.4</v>
      </c>
      <c r="E15" s="12">
        <v>104.1</v>
      </c>
      <c r="F15" s="12">
        <v>106.9</v>
      </c>
      <c r="G15" s="12">
        <v>109.3</v>
      </c>
      <c r="H15" s="12">
        <v>111.8</v>
      </c>
      <c r="I15" s="12">
        <v>13.52</v>
      </c>
      <c r="J15" s="12">
        <v>14.43</v>
      </c>
      <c r="K15" s="12">
        <v>15.43</v>
      </c>
      <c r="L15" s="12">
        <v>16.64</v>
      </c>
      <c r="M15" s="12">
        <v>17.98</v>
      </c>
      <c r="N15" s="12">
        <v>19.29</v>
      </c>
      <c r="O15" s="12">
        <v>20.71</v>
      </c>
      <c r="P15" s="3">
        <v>8.5</v>
      </c>
      <c r="Q15" s="4">
        <v>13.2</v>
      </c>
      <c r="R15" s="4">
        <v>13.5</v>
      </c>
      <c r="S15" s="4">
        <v>14</v>
      </c>
      <c r="T15" s="4">
        <v>14.4</v>
      </c>
      <c r="U15" s="4">
        <v>16.2</v>
      </c>
      <c r="V15" s="4">
        <v>18.5</v>
      </c>
      <c r="W15" s="4">
        <v>19.100000000000001</v>
      </c>
      <c r="X15" s="4">
        <v>20.2</v>
      </c>
      <c r="Y15" s="4">
        <v>20.9</v>
      </c>
    </row>
    <row r="16" spans="1:25" ht="14.4" thickBot="1" x14ac:dyDescent="0.3">
      <c r="A16" s="1" t="s">
        <v>60</v>
      </c>
      <c r="B16" s="12">
        <v>100</v>
      </c>
      <c r="C16" s="12">
        <v>102.4</v>
      </c>
      <c r="D16" s="12">
        <v>104.9</v>
      </c>
      <c r="E16" s="12">
        <v>107.7</v>
      </c>
      <c r="F16" s="12">
        <v>110.5</v>
      </c>
      <c r="G16" s="12">
        <v>113.1</v>
      </c>
      <c r="H16" s="12">
        <v>115.7</v>
      </c>
      <c r="I16" s="12">
        <v>14.37</v>
      </c>
      <c r="J16" s="12">
        <v>15.35</v>
      </c>
      <c r="K16" s="12">
        <v>16.43</v>
      </c>
      <c r="L16" s="12">
        <v>17.75</v>
      </c>
      <c r="M16" s="12">
        <v>19.22</v>
      </c>
      <c r="N16" s="12">
        <v>20.67</v>
      </c>
      <c r="O16" s="12">
        <v>22.24</v>
      </c>
      <c r="P16" s="3">
        <v>9</v>
      </c>
      <c r="Q16" s="4">
        <v>13.3</v>
      </c>
      <c r="R16" s="4">
        <v>13.7</v>
      </c>
      <c r="S16" s="4">
        <v>14.2</v>
      </c>
      <c r="T16" s="4">
        <v>14.6</v>
      </c>
      <c r="U16" s="4">
        <v>16.399999999999999</v>
      </c>
      <c r="V16" s="4">
        <v>18.899999999999999</v>
      </c>
      <c r="W16" s="4">
        <v>19.5</v>
      </c>
      <c r="X16" s="4">
        <v>20.7</v>
      </c>
      <c r="Y16" s="4">
        <v>21.5</v>
      </c>
    </row>
    <row r="17" spans="1:25" ht="14.4" thickBot="1" x14ac:dyDescent="0.3">
      <c r="A17" s="1" t="s">
        <v>61</v>
      </c>
      <c r="B17" s="12">
        <v>103.3</v>
      </c>
      <c r="C17" s="12">
        <v>105.8</v>
      </c>
      <c r="D17" s="12">
        <v>108.4</v>
      </c>
      <c r="E17" s="12">
        <v>111.3</v>
      </c>
      <c r="F17" s="12">
        <v>114.2</v>
      </c>
      <c r="G17" s="12">
        <v>116.9</v>
      </c>
      <c r="H17" s="12">
        <v>119.6</v>
      </c>
      <c r="I17" s="12">
        <v>15.26</v>
      </c>
      <c r="J17" s="12">
        <v>16.329999999999998</v>
      </c>
      <c r="K17" s="12">
        <v>17.52</v>
      </c>
      <c r="L17" s="12">
        <v>18.98</v>
      </c>
      <c r="M17" s="12">
        <v>20.61</v>
      </c>
      <c r="N17" s="12">
        <v>22.23</v>
      </c>
      <c r="O17" s="12">
        <v>24</v>
      </c>
      <c r="P17" s="3">
        <v>9.5</v>
      </c>
      <c r="Q17" s="4">
        <v>13.4</v>
      </c>
      <c r="R17" s="4">
        <v>13.8</v>
      </c>
      <c r="S17" s="4">
        <v>14.3</v>
      </c>
      <c r="T17" s="4">
        <v>14.7</v>
      </c>
      <c r="U17" s="4">
        <v>16.7</v>
      </c>
      <c r="V17" s="4">
        <v>19.2</v>
      </c>
      <c r="W17" s="4">
        <v>20</v>
      </c>
      <c r="X17" s="4">
        <v>21.2</v>
      </c>
      <c r="Y17" s="4">
        <v>22</v>
      </c>
    </row>
    <row r="18" spans="1:25" ht="14.4" thickBot="1" x14ac:dyDescent="0.3">
      <c r="A18" s="1" t="s">
        <v>62</v>
      </c>
      <c r="B18" s="12">
        <v>106.4</v>
      </c>
      <c r="C18" s="12">
        <v>109</v>
      </c>
      <c r="D18" s="12">
        <v>111.7</v>
      </c>
      <c r="E18" s="12">
        <v>114.7</v>
      </c>
      <c r="F18" s="12">
        <v>117.7</v>
      </c>
      <c r="G18" s="12">
        <v>120.5</v>
      </c>
      <c r="H18" s="12">
        <v>123.3</v>
      </c>
      <c r="I18" s="12">
        <v>16.09</v>
      </c>
      <c r="J18" s="12">
        <v>17.260000000000002</v>
      </c>
      <c r="K18" s="12">
        <v>18.559999999999999</v>
      </c>
      <c r="L18" s="12">
        <v>20.18</v>
      </c>
      <c r="M18" s="12">
        <v>21.98</v>
      </c>
      <c r="N18" s="12">
        <v>23.81</v>
      </c>
      <c r="O18" s="12">
        <v>25.81</v>
      </c>
      <c r="P18" s="3">
        <v>10</v>
      </c>
      <c r="Q18" s="4">
        <v>13.6</v>
      </c>
      <c r="R18" s="4">
        <v>13.9</v>
      </c>
      <c r="S18" s="4">
        <v>14.5</v>
      </c>
      <c r="T18" s="4">
        <v>14.9</v>
      </c>
      <c r="U18" s="4">
        <v>17</v>
      </c>
      <c r="V18" s="4">
        <v>19.600000000000001</v>
      </c>
      <c r="W18" s="4">
        <v>20.399999999999999</v>
      </c>
      <c r="X18" s="4">
        <v>21.7</v>
      </c>
      <c r="Y18" s="4">
        <v>22.6</v>
      </c>
    </row>
    <row r="19" spans="1:25" ht="14.4" thickBot="1" x14ac:dyDescent="0.3">
      <c r="A19" s="1" t="s">
        <v>63</v>
      </c>
      <c r="B19" s="12">
        <v>109.1</v>
      </c>
      <c r="C19" s="12">
        <v>111.8</v>
      </c>
      <c r="D19" s="12">
        <v>114.6</v>
      </c>
      <c r="E19" s="12">
        <v>117.7</v>
      </c>
      <c r="F19" s="12">
        <v>120.9</v>
      </c>
      <c r="G19" s="12">
        <v>123.7</v>
      </c>
      <c r="H19" s="12">
        <v>126.6</v>
      </c>
      <c r="I19" s="12">
        <v>16.8</v>
      </c>
      <c r="J19" s="12">
        <v>18.059999999999999</v>
      </c>
      <c r="K19" s="12">
        <v>19.489999999999998</v>
      </c>
      <c r="L19" s="12">
        <v>21.26</v>
      </c>
      <c r="M19" s="12">
        <v>23.26</v>
      </c>
      <c r="N19" s="12">
        <v>25.29</v>
      </c>
      <c r="O19" s="12">
        <v>27.55</v>
      </c>
      <c r="P19" s="3">
        <v>10.5</v>
      </c>
      <c r="Q19" s="4">
        <v>13.7</v>
      </c>
      <c r="R19" s="4">
        <v>14.1</v>
      </c>
      <c r="S19" s="4">
        <v>14.7</v>
      </c>
      <c r="T19" s="4">
        <v>15.1</v>
      </c>
      <c r="U19" s="4">
        <v>17.2</v>
      </c>
      <c r="V19" s="4">
        <v>20.100000000000001</v>
      </c>
      <c r="W19" s="4">
        <v>20.9</v>
      </c>
      <c r="X19" s="4">
        <v>22.2</v>
      </c>
      <c r="Y19" s="4">
        <v>23.1</v>
      </c>
    </row>
    <row r="20" spans="1:25" ht="14.4" thickBot="1" x14ac:dyDescent="0.3">
      <c r="A20" s="1" t="s">
        <v>57</v>
      </c>
      <c r="B20" s="12">
        <v>111.7</v>
      </c>
      <c r="C20" s="12">
        <v>114.5</v>
      </c>
      <c r="D20" s="12">
        <v>117.4</v>
      </c>
      <c r="E20" s="12">
        <v>120.7</v>
      </c>
      <c r="F20" s="12">
        <v>123.9</v>
      </c>
      <c r="G20" s="12">
        <v>126.9</v>
      </c>
      <c r="H20" s="12">
        <v>129.9</v>
      </c>
      <c r="I20" s="12">
        <v>17.53</v>
      </c>
      <c r="J20" s="12">
        <v>18.920000000000002</v>
      </c>
      <c r="K20" s="12">
        <v>20.49</v>
      </c>
      <c r="L20" s="12">
        <v>22.45</v>
      </c>
      <c r="M20" s="12">
        <v>24.7</v>
      </c>
      <c r="N20" s="12">
        <v>27</v>
      </c>
      <c r="O20" s="12">
        <v>29.57</v>
      </c>
      <c r="P20" s="3">
        <v>11</v>
      </c>
      <c r="Q20" s="4">
        <v>13.9</v>
      </c>
      <c r="R20" s="4">
        <v>14.3</v>
      </c>
      <c r="S20" s="4">
        <v>14.9</v>
      </c>
      <c r="T20" s="4">
        <v>15.3</v>
      </c>
      <c r="U20" s="4">
        <v>17.5</v>
      </c>
      <c r="V20" s="4">
        <v>20.5</v>
      </c>
      <c r="W20" s="4">
        <v>21.3</v>
      </c>
      <c r="X20" s="4">
        <v>22.7</v>
      </c>
      <c r="Y20" s="4">
        <v>23.6</v>
      </c>
    </row>
    <row r="21" spans="1:25" ht="14.4" thickBot="1" x14ac:dyDescent="0.3">
      <c r="A21" s="1" t="s">
        <v>64</v>
      </c>
      <c r="B21" s="12">
        <v>114.6</v>
      </c>
      <c r="C21" s="12">
        <v>117.6</v>
      </c>
      <c r="D21" s="12">
        <v>120.6</v>
      </c>
      <c r="E21" s="12">
        <v>124</v>
      </c>
      <c r="F21" s="12">
        <v>127.4</v>
      </c>
      <c r="G21" s="12">
        <v>130.5</v>
      </c>
      <c r="H21" s="12">
        <v>133.69999999999999</v>
      </c>
      <c r="I21" s="12">
        <v>18.48</v>
      </c>
      <c r="J21" s="12">
        <v>20.04</v>
      </c>
      <c r="K21" s="12">
        <v>21.81</v>
      </c>
      <c r="L21" s="12">
        <v>24.06</v>
      </c>
      <c r="M21" s="12">
        <v>26.66</v>
      </c>
      <c r="N21" s="12">
        <v>29.35</v>
      </c>
      <c r="O21" s="12">
        <v>32.409999999999997</v>
      </c>
      <c r="P21" s="3">
        <v>11.5</v>
      </c>
      <c r="Q21" s="4">
        <v>14.1</v>
      </c>
      <c r="R21" s="4">
        <v>14.5</v>
      </c>
      <c r="S21" s="4">
        <v>15.1</v>
      </c>
      <c r="T21" s="4">
        <v>15.6</v>
      </c>
      <c r="U21" s="4">
        <v>17.8</v>
      </c>
      <c r="V21" s="4">
        <v>20.8</v>
      </c>
      <c r="W21" s="4">
        <v>21.7</v>
      </c>
      <c r="X21" s="4">
        <v>23.1</v>
      </c>
      <c r="Y21" s="4">
        <v>24.2</v>
      </c>
    </row>
    <row r="22" spans="1:25" ht="14.4" thickBot="1" x14ac:dyDescent="0.3">
      <c r="A22" s="1" t="s">
        <v>65</v>
      </c>
      <c r="B22" s="12">
        <v>117.4</v>
      </c>
      <c r="C22" s="12">
        <v>120.5</v>
      </c>
      <c r="D22" s="12">
        <v>123.6</v>
      </c>
      <c r="E22" s="12">
        <v>127.1</v>
      </c>
      <c r="F22" s="12">
        <v>130.69999999999999</v>
      </c>
      <c r="G22" s="12">
        <v>133.9</v>
      </c>
      <c r="H22" s="12">
        <v>137.19999999999999</v>
      </c>
      <c r="I22" s="12">
        <v>19.43</v>
      </c>
      <c r="J22" s="12">
        <v>21.17</v>
      </c>
      <c r="K22" s="12">
        <v>23.16</v>
      </c>
      <c r="L22" s="12">
        <v>25.72</v>
      </c>
      <c r="M22" s="12">
        <v>28.7</v>
      </c>
      <c r="N22" s="12">
        <v>31.84</v>
      </c>
      <c r="O22" s="12">
        <v>35.450000000000003</v>
      </c>
      <c r="P22" s="3">
        <v>12</v>
      </c>
      <c r="Q22" s="4">
        <v>14.3</v>
      </c>
      <c r="R22" s="4">
        <v>14.7</v>
      </c>
      <c r="S22" s="4">
        <v>15.3</v>
      </c>
      <c r="T22" s="4">
        <v>15.8</v>
      </c>
      <c r="U22" s="4">
        <v>18.100000000000001</v>
      </c>
      <c r="V22" s="4">
        <v>21.2</v>
      </c>
      <c r="W22" s="4">
        <v>22.1</v>
      </c>
      <c r="X22" s="4">
        <v>23.6</v>
      </c>
      <c r="Y22" s="4">
        <v>24.6</v>
      </c>
    </row>
    <row r="23" spans="1:25" ht="14.4" thickBot="1" x14ac:dyDescent="0.3">
      <c r="A23" s="1" t="s">
        <v>66</v>
      </c>
      <c r="B23" s="12">
        <v>119.9</v>
      </c>
      <c r="C23" s="12">
        <v>123.1</v>
      </c>
      <c r="D23" s="12">
        <v>126.3</v>
      </c>
      <c r="E23" s="12">
        <v>130</v>
      </c>
      <c r="F23" s="12">
        <v>133.69999999999999</v>
      </c>
      <c r="G23" s="12">
        <v>137.1</v>
      </c>
      <c r="H23" s="12">
        <v>140.4</v>
      </c>
      <c r="I23" s="12">
        <v>20.32</v>
      </c>
      <c r="J23" s="12">
        <v>22.24</v>
      </c>
      <c r="K23" s="12">
        <v>24.46</v>
      </c>
      <c r="L23" s="12">
        <v>27.33</v>
      </c>
      <c r="M23" s="12">
        <v>30.71</v>
      </c>
      <c r="N23" s="12">
        <v>34.31</v>
      </c>
      <c r="O23" s="12">
        <v>38.49</v>
      </c>
      <c r="P23" s="3">
        <v>12.5</v>
      </c>
      <c r="Q23" s="4">
        <v>14.5</v>
      </c>
      <c r="R23" s="4">
        <v>14.9</v>
      </c>
      <c r="S23" s="4">
        <v>15.5</v>
      </c>
      <c r="T23" s="4">
        <v>16</v>
      </c>
      <c r="U23" s="4">
        <v>18.399999999999999</v>
      </c>
      <c r="V23" s="4">
        <v>21.6</v>
      </c>
      <c r="W23" s="4">
        <v>22.5</v>
      </c>
      <c r="X23" s="4">
        <v>24</v>
      </c>
      <c r="Y23" s="4">
        <v>25.1</v>
      </c>
    </row>
    <row r="24" spans="1:25" ht="14.4" thickBot="1" x14ac:dyDescent="0.3">
      <c r="A24" s="1" t="s">
        <v>67</v>
      </c>
      <c r="B24" s="12">
        <v>122.3</v>
      </c>
      <c r="C24" s="12">
        <v>125.6</v>
      </c>
      <c r="D24" s="12">
        <v>129</v>
      </c>
      <c r="E24" s="12">
        <v>132.69999999999999</v>
      </c>
      <c r="F24" s="12">
        <v>136.6</v>
      </c>
      <c r="G24" s="12">
        <v>140.1</v>
      </c>
      <c r="H24" s="12">
        <v>143.6</v>
      </c>
      <c r="I24" s="12">
        <v>21.18</v>
      </c>
      <c r="J24" s="12">
        <v>23.28</v>
      </c>
      <c r="K24" s="12">
        <v>25.73</v>
      </c>
      <c r="L24" s="12">
        <v>28.91</v>
      </c>
      <c r="M24" s="12">
        <v>32.69</v>
      </c>
      <c r="N24" s="12">
        <v>36.74</v>
      </c>
      <c r="O24" s="12">
        <v>41.49</v>
      </c>
      <c r="P24" s="3">
        <v>13</v>
      </c>
      <c r="Q24" s="4">
        <v>14.7</v>
      </c>
      <c r="R24" s="4">
        <v>15.1</v>
      </c>
      <c r="S24" s="4">
        <v>15.7</v>
      </c>
      <c r="T24" s="4">
        <v>16.2</v>
      </c>
      <c r="U24" s="4">
        <v>18.7</v>
      </c>
      <c r="V24" s="4">
        <v>21.9</v>
      </c>
      <c r="W24" s="4">
        <v>22.9</v>
      </c>
      <c r="X24" s="4">
        <v>24.4</v>
      </c>
      <c r="Y24" s="4">
        <v>25.5</v>
      </c>
    </row>
    <row r="25" spans="1:25" ht="14.4" thickBot="1" x14ac:dyDescent="0.3">
      <c r="A25" s="1" t="s">
        <v>68</v>
      </c>
      <c r="B25" s="12">
        <v>124.6</v>
      </c>
      <c r="C25" s="12">
        <v>128</v>
      </c>
      <c r="D25" s="12">
        <v>131.4</v>
      </c>
      <c r="E25" s="12">
        <v>135.4</v>
      </c>
      <c r="F25" s="12">
        <v>139.30000000000001</v>
      </c>
      <c r="G25" s="12">
        <v>142.9</v>
      </c>
      <c r="H25" s="12">
        <v>146.5</v>
      </c>
      <c r="I25" s="12">
        <v>22.04</v>
      </c>
      <c r="J25" s="12">
        <v>24.31</v>
      </c>
      <c r="K25" s="12">
        <v>26.98</v>
      </c>
      <c r="L25" s="12">
        <v>30.46</v>
      </c>
      <c r="M25" s="12">
        <v>34.61</v>
      </c>
      <c r="N25" s="12">
        <v>39.08</v>
      </c>
      <c r="O25" s="12">
        <v>44.35</v>
      </c>
      <c r="P25" s="3">
        <v>13.5</v>
      </c>
      <c r="Q25" s="4">
        <v>14.8</v>
      </c>
      <c r="R25" s="4">
        <v>15.3</v>
      </c>
      <c r="S25" s="4">
        <v>15.9</v>
      </c>
      <c r="T25" s="4">
        <v>16.399999999999999</v>
      </c>
      <c r="U25" s="4">
        <v>18.899999999999999</v>
      </c>
      <c r="V25" s="4">
        <v>22.3</v>
      </c>
      <c r="W25" s="4">
        <v>23.2</v>
      </c>
      <c r="X25" s="4">
        <v>24.8</v>
      </c>
      <c r="Y25" s="4">
        <v>25.9</v>
      </c>
    </row>
    <row r="26" spans="1:25" ht="14.4" thickBot="1" x14ac:dyDescent="0.3">
      <c r="A26" s="1" t="s">
        <v>69</v>
      </c>
      <c r="B26" s="12">
        <v>126.7</v>
      </c>
      <c r="C26" s="12">
        <v>130.30000000000001</v>
      </c>
      <c r="D26" s="12">
        <v>133.9</v>
      </c>
      <c r="E26" s="12">
        <v>137.9</v>
      </c>
      <c r="F26" s="12">
        <v>142</v>
      </c>
      <c r="G26" s="12">
        <v>145.69999999999999</v>
      </c>
      <c r="H26" s="12">
        <v>149.4</v>
      </c>
      <c r="I26" s="12">
        <v>22.95</v>
      </c>
      <c r="J26" s="12">
        <v>25.42</v>
      </c>
      <c r="K26" s="12">
        <v>28.31</v>
      </c>
      <c r="L26" s="12">
        <v>32.090000000000003</v>
      </c>
      <c r="M26" s="12">
        <v>36.61</v>
      </c>
      <c r="N26" s="12">
        <v>41.49</v>
      </c>
      <c r="O26" s="12">
        <v>47.24</v>
      </c>
      <c r="P26" s="3">
        <v>14</v>
      </c>
      <c r="Q26" s="4">
        <v>15</v>
      </c>
      <c r="R26" s="4">
        <v>15.4</v>
      </c>
      <c r="S26" s="4">
        <v>16.100000000000001</v>
      </c>
      <c r="T26" s="4">
        <v>16.7</v>
      </c>
      <c r="U26" s="4">
        <v>19.2</v>
      </c>
      <c r="V26" s="4">
        <v>22.6</v>
      </c>
      <c r="W26" s="4">
        <v>23.5</v>
      </c>
      <c r="X26" s="4">
        <v>25.1</v>
      </c>
      <c r="Y26" s="4">
        <v>26.3</v>
      </c>
    </row>
    <row r="27" spans="1:25" ht="14.4" thickBot="1" x14ac:dyDescent="0.3">
      <c r="A27" s="1" t="s">
        <v>70</v>
      </c>
      <c r="B27" s="12">
        <v>128.69999999999999</v>
      </c>
      <c r="C27" s="12">
        <v>132.30000000000001</v>
      </c>
      <c r="D27" s="12">
        <v>136</v>
      </c>
      <c r="E27" s="12">
        <v>140.19999999999999</v>
      </c>
      <c r="F27" s="12">
        <v>144.4</v>
      </c>
      <c r="G27" s="12">
        <v>148.19999999999999</v>
      </c>
      <c r="H27" s="12">
        <v>152</v>
      </c>
      <c r="I27" s="12">
        <v>23.89</v>
      </c>
      <c r="J27" s="12">
        <v>26.55</v>
      </c>
      <c r="K27" s="12">
        <v>29.66</v>
      </c>
      <c r="L27" s="12">
        <v>33.74</v>
      </c>
      <c r="M27" s="12">
        <v>38.61</v>
      </c>
      <c r="N27" s="12">
        <v>43.85</v>
      </c>
      <c r="O27" s="12">
        <v>50.01</v>
      </c>
      <c r="P27" s="3">
        <v>14.5</v>
      </c>
      <c r="Q27" s="4">
        <v>15.2</v>
      </c>
      <c r="R27" s="4">
        <v>15.6</v>
      </c>
      <c r="S27" s="4">
        <v>16.3</v>
      </c>
      <c r="T27" s="4">
        <v>16.899999999999999</v>
      </c>
      <c r="U27" s="4">
        <v>19.399999999999999</v>
      </c>
      <c r="V27" s="4">
        <v>22.9</v>
      </c>
      <c r="W27" s="4">
        <v>23.8</v>
      </c>
      <c r="X27" s="4">
        <v>25.5</v>
      </c>
      <c r="Y27" s="4">
        <v>26.6</v>
      </c>
    </row>
    <row r="28" spans="1:25" ht="14.4" thickBot="1" x14ac:dyDescent="0.3">
      <c r="A28" s="1" t="s">
        <v>71</v>
      </c>
      <c r="B28" s="12">
        <v>130.69999999999999</v>
      </c>
      <c r="C28" s="12">
        <v>134.5</v>
      </c>
      <c r="D28" s="12">
        <v>138.30000000000001</v>
      </c>
      <c r="E28" s="12">
        <v>142.6</v>
      </c>
      <c r="F28" s="12">
        <v>147</v>
      </c>
      <c r="G28" s="12">
        <v>150.9</v>
      </c>
      <c r="H28" s="12">
        <v>154.9</v>
      </c>
      <c r="I28" s="12">
        <v>24.96</v>
      </c>
      <c r="J28" s="12">
        <v>27.83</v>
      </c>
      <c r="K28" s="12">
        <v>31.2</v>
      </c>
      <c r="L28" s="12">
        <v>35.58</v>
      </c>
      <c r="M28" s="12">
        <v>40.81</v>
      </c>
      <c r="N28" s="12">
        <v>46.4</v>
      </c>
      <c r="O28" s="12">
        <v>52.93</v>
      </c>
      <c r="P28" s="3">
        <v>15</v>
      </c>
      <c r="Q28" s="4">
        <v>15.4</v>
      </c>
      <c r="R28" s="4">
        <v>15.8</v>
      </c>
      <c r="S28" s="4">
        <v>16.5</v>
      </c>
      <c r="T28" s="4">
        <v>17.100000000000001</v>
      </c>
      <c r="U28" s="4">
        <v>19.7</v>
      </c>
      <c r="V28" s="4">
        <v>23.1</v>
      </c>
      <c r="W28" s="4">
        <v>24.1</v>
      </c>
      <c r="X28" s="4">
        <v>25.8</v>
      </c>
      <c r="Y28" s="4">
        <v>26.9</v>
      </c>
    </row>
    <row r="29" spans="1:25" ht="14.4" thickBot="1" x14ac:dyDescent="0.3">
      <c r="A29" s="1" t="s">
        <v>72</v>
      </c>
      <c r="B29" s="12">
        <v>132.9</v>
      </c>
      <c r="C29" s="12">
        <v>136.80000000000001</v>
      </c>
      <c r="D29" s="12">
        <v>140.80000000000001</v>
      </c>
      <c r="E29" s="12">
        <v>145.30000000000001</v>
      </c>
      <c r="F29" s="12">
        <v>149.9</v>
      </c>
      <c r="G29" s="12">
        <v>154</v>
      </c>
      <c r="H29" s="12">
        <v>158.1</v>
      </c>
      <c r="I29" s="12">
        <v>26.21</v>
      </c>
      <c r="J29" s="12">
        <v>29.33</v>
      </c>
      <c r="K29" s="12">
        <v>32.97</v>
      </c>
      <c r="L29" s="12">
        <v>37.69</v>
      </c>
      <c r="M29" s="12">
        <v>43.27</v>
      </c>
      <c r="N29" s="12">
        <v>49.2</v>
      </c>
      <c r="O29" s="12">
        <v>56.07</v>
      </c>
      <c r="P29" s="3">
        <v>15.5</v>
      </c>
      <c r="Q29" s="4">
        <v>15.5</v>
      </c>
      <c r="R29" s="4">
        <v>16</v>
      </c>
      <c r="S29" s="4">
        <v>16.7</v>
      </c>
      <c r="T29" s="4">
        <v>17.2</v>
      </c>
      <c r="U29" s="4">
        <v>19.899999999999999</v>
      </c>
      <c r="V29" s="4">
        <v>23.4</v>
      </c>
      <c r="W29" s="4">
        <v>24.4</v>
      </c>
      <c r="X29" s="4">
        <v>26.1</v>
      </c>
      <c r="Y29" s="4">
        <v>27.2</v>
      </c>
    </row>
    <row r="30" spans="1:25" ht="14.4" thickBot="1" x14ac:dyDescent="0.3">
      <c r="A30" s="1" t="s">
        <v>73</v>
      </c>
      <c r="B30" s="12">
        <v>135.30000000000001</v>
      </c>
      <c r="C30" s="12">
        <v>139.5</v>
      </c>
      <c r="D30" s="12">
        <v>143.69999999999999</v>
      </c>
      <c r="E30" s="12">
        <v>148.4</v>
      </c>
      <c r="F30" s="12">
        <v>153.1</v>
      </c>
      <c r="G30" s="12">
        <v>157.4</v>
      </c>
      <c r="H30" s="12">
        <v>161.69999999999999</v>
      </c>
      <c r="I30" s="12">
        <v>27.59</v>
      </c>
      <c r="J30" s="12">
        <v>30.97</v>
      </c>
      <c r="K30" s="12">
        <v>34.909999999999997</v>
      </c>
      <c r="L30" s="12">
        <v>39.979999999999997</v>
      </c>
      <c r="M30" s="12">
        <v>45.94</v>
      </c>
      <c r="N30" s="12">
        <v>52.21</v>
      </c>
      <c r="O30" s="12">
        <v>59.4</v>
      </c>
      <c r="P30" s="3">
        <v>16</v>
      </c>
      <c r="Q30" s="4">
        <v>15.7</v>
      </c>
      <c r="R30" s="4">
        <v>16.100000000000001</v>
      </c>
      <c r="S30" s="4">
        <v>16.899999999999999</v>
      </c>
      <c r="T30" s="4">
        <v>17.399999999999999</v>
      </c>
      <c r="U30" s="4">
        <v>20.100000000000001</v>
      </c>
      <c r="V30" s="4">
        <v>23.6</v>
      </c>
      <c r="W30" s="4">
        <v>24.7</v>
      </c>
      <c r="X30" s="4">
        <v>26.3</v>
      </c>
      <c r="Y30" s="4">
        <v>27.5</v>
      </c>
    </row>
    <row r="31" spans="1:25" ht="14.4" thickBot="1" x14ac:dyDescent="0.3">
      <c r="A31" s="1" t="s">
        <v>74</v>
      </c>
      <c r="B31" s="12">
        <v>138.1</v>
      </c>
      <c r="C31" s="12">
        <v>142.5</v>
      </c>
      <c r="D31" s="12">
        <v>147</v>
      </c>
      <c r="E31" s="12">
        <v>151.9</v>
      </c>
      <c r="F31" s="12">
        <v>157</v>
      </c>
      <c r="G31" s="12">
        <v>161.5</v>
      </c>
      <c r="H31" s="12">
        <v>166</v>
      </c>
      <c r="I31" s="12">
        <v>29.09</v>
      </c>
      <c r="J31" s="12">
        <v>32.770000000000003</v>
      </c>
      <c r="K31" s="12">
        <v>37.03</v>
      </c>
      <c r="L31" s="12">
        <v>42.49</v>
      </c>
      <c r="M31" s="12">
        <v>48.86</v>
      </c>
      <c r="N31" s="12">
        <v>55.5</v>
      </c>
      <c r="O31" s="12">
        <v>63.04</v>
      </c>
      <c r="P31" s="3">
        <v>16.5</v>
      </c>
      <c r="Q31" s="4">
        <v>15.8</v>
      </c>
      <c r="R31" s="4">
        <v>16.3</v>
      </c>
      <c r="S31" s="4">
        <v>17.100000000000001</v>
      </c>
      <c r="T31" s="4">
        <v>17.600000000000001</v>
      </c>
      <c r="U31" s="4">
        <v>20.3</v>
      </c>
      <c r="V31" s="4">
        <v>23.9</v>
      </c>
      <c r="W31" s="4">
        <v>24.9</v>
      </c>
      <c r="X31" s="4">
        <v>26.6</v>
      </c>
      <c r="Y31" s="4">
        <v>27.8</v>
      </c>
    </row>
    <row r="32" spans="1:25" ht="14.4" thickBot="1" x14ac:dyDescent="0.3">
      <c r="A32" s="1" t="s">
        <v>75</v>
      </c>
      <c r="B32" s="12">
        <v>141.1</v>
      </c>
      <c r="C32" s="12">
        <v>145.69999999999999</v>
      </c>
      <c r="D32" s="12">
        <v>150.4</v>
      </c>
      <c r="E32" s="12">
        <v>155.6</v>
      </c>
      <c r="F32" s="12">
        <v>160.80000000000001</v>
      </c>
      <c r="G32" s="12">
        <v>165.5</v>
      </c>
      <c r="H32" s="12">
        <v>170.2</v>
      </c>
      <c r="I32" s="12">
        <v>30.74</v>
      </c>
      <c r="J32" s="12">
        <v>34.71</v>
      </c>
      <c r="K32" s="12">
        <v>39.29</v>
      </c>
      <c r="L32" s="12">
        <v>45.13</v>
      </c>
      <c r="M32" s="12">
        <v>51.89</v>
      </c>
      <c r="N32" s="12">
        <v>58.9</v>
      </c>
      <c r="O32" s="12">
        <v>66.81</v>
      </c>
      <c r="P32" s="3">
        <v>17</v>
      </c>
      <c r="Q32" s="4">
        <v>16</v>
      </c>
      <c r="R32" s="4">
        <v>16.5</v>
      </c>
      <c r="S32" s="4">
        <v>17.2</v>
      </c>
      <c r="T32" s="4">
        <v>17.8</v>
      </c>
      <c r="U32" s="4">
        <v>20.5</v>
      </c>
      <c r="V32" s="4">
        <v>24.1</v>
      </c>
      <c r="W32" s="4">
        <v>25.1</v>
      </c>
      <c r="X32" s="4">
        <v>26.8</v>
      </c>
      <c r="Y32" s="4">
        <v>28</v>
      </c>
    </row>
    <row r="33" spans="1:25" ht="14.4" thickBot="1" x14ac:dyDescent="0.3">
      <c r="A33" s="1" t="s">
        <v>76</v>
      </c>
      <c r="B33" s="12">
        <v>145</v>
      </c>
      <c r="C33" s="12">
        <v>149.6</v>
      </c>
      <c r="D33" s="12">
        <v>154.30000000000001</v>
      </c>
      <c r="E33" s="12">
        <v>159.5</v>
      </c>
      <c r="F33" s="12">
        <v>164.8</v>
      </c>
      <c r="G33" s="12">
        <v>169.5</v>
      </c>
      <c r="H33" s="12">
        <v>174.2</v>
      </c>
      <c r="I33" s="12">
        <v>32.82</v>
      </c>
      <c r="J33" s="12">
        <v>37.04</v>
      </c>
      <c r="K33" s="12">
        <v>41.9</v>
      </c>
      <c r="L33" s="12">
        <v>48.08</v>
      </c>
      <c r="M33" s="12">
        <v>55.21</v>
      </c>
      <c r="N33" s="12">
        <v>62.57</v>
      </c>
      <c r="O33" s="12">
        <v>70.83</v>
      </c>
      <c r="P33" s="3">
        <v>17.5</v>
      </c>
      <c r="Q33" s="4">
        <v>16.100000000000001</v>
      </c>
      <c r="R33" s="4">
        <v>16.600000000000001</v>
      </c>
      <c r="S33" s="4">
        <v>17.399999999999999</v>
      </c>
      <c r="T33" s="4">
        <v>17.899999999999999</v>
      </c>
      <c r="U33" s="4">
        <v>20.7</v>
      </c>
      <c r="V33" s="4">
        <v>24.3</v>
      </c>
      <c r="W33" s="4">
        <v>25.4</v>
      </c>
      <c r="X33" s="4">
        <v>27.1</v>
      </c>
      <c r="Y33" s="4">
        <v>28.3</v>
      </c>
    </row>
    <row r="34" spans="1:25" ht="14.4" thickBot="1" x14ac:dyDescent="0.3">
      <c r="A34" s="1" t="s">
        <v>77</v>
      </c>
      <c r="B34" s="12">
        <v>148.80000000000001</v>
      </c>
      <c r="C34" s="12">
        <v>153.30000000000001</v>
      </c>
      <c r="D34" s="12">
        <v>157.9</v>
      </c>
      <c r="E34" s="12">
        <v>163</v>
      </c>
      <c r="F34" s="12">
        <v>168.1</v>
      </c>
      <c r="G34" s="12">
        <v>172.7</v>
      </c>
      <c r="H34" s="12">
        <v>177.2</v>
      </c>
      <c r="I34" s="12">
        <v>35.03</v>
      </c>
      <c r="J34" s="12">
        <v>39.42</v>
      </c>
      <c r="K34" s="12">
        <v>44.45</v>
      </c>
      <c r="L34" s="12">
        <v>50.85</v>
      </c>
      <c r="M34" s="12">
        <v>58.21</v>
      </c>
      <c r="N34" s="12">
        <v>65.8</v>
      </c>
      <c r="O34" s="12">
        <v>74.33</v>
      </c>
      <c r="P34" s="5">
        <v>18</v>
      </c>
      <c r="Q34" s="6">
        <v>16.3</v>
      </c>
      <c r="R34" s="6">
        <v>16.7</v>
      </c>
      <c r="S34" s="6">
        <v>17.5</v>
      </c>
      <c r="T34" s="6">
        <v>18.100000000000001</v>
      </c>
      <c r="U34" s="6">
        <v>20.8</v>
      </c>
      <c r="V34" s="6">
        <v>24.5</v>
      </c>
      <c r="W34" s="6">
        <v>25.6</v>
      </c>
      <c r="X34" s="6">
        <v>27.3</v>
      </c>
      <c r="Y34" s="6">
        <v>28.5</v>
      </c>
    </row>
    <row r="35" spans="1:25" ht="14.4" thickBot="1" x14ac:dyDescent="0.3">
      <c r="A35" s="1" t="s">
        <v>78</v>
      </c>
      <c r="B35" s="12">
        <v>152.30000000000001</v>
      </c>
      <c r="C35" s="12">
        <v>156.69999999999999</v>
      </c>
      <c r="D35" s="12">
        <v>161</v>
      </c>
      <c r="E35" s="12">
        <v>165.9</v>
      </c>
      <c r="F35" s="12">
        <v>170.7</v>
      </c>
      <c r="G35" s="12">
        <v>175.1</v>
      </c>
      <c r="H35" s="12">
        <v>179.4</v>
      </c>
      <c r="I35" s="12">
        <v>37.36</v>
      </c>
      <c r="J35" s="12">
        <v>41.8</v>
      </c>
      <c r="K35" s="12">
        <v>46.9</v>
      </c>
      <c r="L35" s="12">
        <v>53.37</v>
      </c>
      <c r="M35" s="12">
        <v>60.83</v>
      </c>
      <c r="N35" s="12">
        <v>68.53</v>
      </c>
      <c r="O35" s="12">
        <v>77.2</v>
      </c>
    </row>
    <row r="36" spans="1:25" ht="14.4" thickBot="1" x14ac:dyDescent="0.3">
      <c r="A36" s="1" t="s">
        <v>79</v>
      </c>
      <c r="B36" s="12">
        <v>155.30000000000001</v>
      </c>
      <c r="C36" s="12">
        <v>159.4</v>
      </c>
      <c r="D36" s="12">
        <v>163.6</v>
      </c>
      <c r="E36" s="12">
        <v>168.2</v>
      </c>
      <c r="F36" s="12">
        <v>172.8</v>
      </c>
      <c r="G36" s="12">
        <v>176.9</v>
      </c>
      <c r="H36" s="12">
        <v>181</v>
      </c>
      <c r="I36" s="12">
        <v>39.53</v>
      </c>
      <c r="J36" s="12">
        <v>43.94</v>
      </c>
      <c r="K36" s="12">
        <v>49</v>
      </c>
      <c r="L36" s="12">
        <v>55.43</v>
      </c>
      <c r="M36" s="12">
        <v>62.86</v>
      </c>
      <c r="N36" s="12">
        <v>70.55</v>
      </c>
      <c r="O36" s="12">
        <v>79.239999999999995</v>
      </c>
    </row>
    <row r="37" spans="1:25" ht="14.4" thickBot="1" x14ac:dyDescent="0.3">
      <c r="A37" s="1" t="s">
        <v>80</v>
      </c>
      <c r="B37" s="12">
        <v>157.5</v>
      </c>
      <c r="C37" s="12">
        <v>161.4</v>
      </c>
      <c r="D37" s="12">
        <v>165.4</v>
      </c>
      <c r="E37" s="12">
        <v>169.8</v>
      </c>
      <c r="F37" s="12">
        <v>174.2</v>
      </c>
      <c r="G37" s="12">
        <v>178.2</v>
      </c>
      <c r="H37" s="12">
        <v>182</v>
      </c>
      <c r="I37" s="12">
        <v>41.43</v>
      </c>
      <c r="J37" s="12">
        <v>45.77</v>
      </c>
      <c r="K37" s="12">
        <v>50.75</v>
      </c>
      <c r="L37" s="12">
        <v>57.08</v>
      </c>
      <c r="M37" s="12">
        <v>64.400000000000006</v>
      </c>
      <c r="N37" s="12">
        <v>72</v>
      </c>
      <c r="O37" s="12">
        <v>80.599999999999994</v>
      </c>
    </row>
    <row r="38" spans="1:25" ht="14.4" thickBot="1" x14ac:dyDescent="0.3">
      <c r="A38" s="1" t="s">
        <v>81</v>
      </c>
      <c r="B38" s="12">
        <v>159.1</v>
      </c>
      <c r="C38" s="12">
        <v>162.9</v>
      </c>
      <c r="D38" s="12">
        <v>166.7</v>
      </c>
      <c r="E38" s="12">
        <v>171</v>
      </c>
      <c r="F38" s="12">
        <v>175.2</v>
      </c>
      <c r="G38" s="12">
        <v>179.1</v>
      </c>
      <c r="H38" s="12">
        <v>182.8</v>
      </c>
      <c r="I38" s="12">
        <v>43.05</v>
      </c>
      <c r="J38" s="12">
        <v>47.31</v>
      </c>
      <c r="K38" s="12">
        <v>52.19</v>
      </c>
      <c r="L38" s="12">
        <v>58.39</v>
      </c>
      <c r="M38" s="12">
        <v>65.569999999999993</v>
      </c>
      <c r="N38" s="12">
        <v>73.03</v>
      </c>
      <c r="O38" s="12">
        <v>81.489999999999995</v>
      </c>
    </row>
    <row r="39" spans="1:25" ht="14.4" thickBot="1" x14ac:dyDescent="0.3">
      <c r="A39" s="1" t="s">
        <v>82</v>
      </c>
      <c r="B39" s="12">
        <v>159.9</v>
      </c>
      <c r="C39" s="12">
        <v>163.6</v>
      </c>
      <c r="D39" s="12">
        <v>167.4</v>
      </c>
      <c r="E39" s="12">
        <v>171.6</v>
      </c>
      <c r="F39" s="12">
        <v>175.8</v>
      </c>
      <c r="G39" s="12">
        <v>179.5</v>
      </c>
      <c r="H39" s="12">
        <v>183.2</v>
      </c>
      <c r="I39" s="12">
        <v>44.28</v>
      </c>
      <c r="J39" s="12">
        <v>48.47</v>
      </c>
      <c r="K39" s="12">
        <v>53.26</v>
      </c>
      <c r="L39" s="12">
        <v>59.35</v>
      </c>
      <c r="M39" s="12">
        <v>66.400000000000006</v>
      </c>
      <c r="N39" s="12">
        <v>73.73</v>
      </c>
      <c r="O39" s="12">
        <v>82.05</v>
      </c>
    </row>
    <row r="40" spans="1:25" ht="14.4" thickBot="1" x14ac:dyDescent="0.3">
      <c r="A40" s="1" t="s">
        <v>83</v>
      </c>
      <c r="B40" s="12">
        <v>160.5</v>
      </c>
      <c r="C40" s="12">
        <v>164.2</v>
      </c>
      <c r="D40" s="12">
        <v>167.9</v>
      </c>
      <c r="E40" s="12">
        <v>172.1</v>
      </c>
      <c r="F40" s="12">
        <v>176.2</v>
      </c>
      <c r="G40" s="12">
        <v>179.9</v>
      </c>
      <c r="H40" s="12">
        <v>183.5</v>
      </c>
      <c r="I40" s="12">
        <v>45.3</v>
      </c>
      <c r="J40" s="12">
        <v>49.42</v>
      </c>
      <c r="K40" s="12">
        <v>54.13</v>
      </c>
      <c r="L40" s="12">
        <v>60.12</v>
      </c>
      <c r="M40" s="12">
        <v>67.05</v>
      </c>
      <c r="N40" s="12">
        <v>74.25</v>
      </c>
      <c r="O40" s="12">
        <v>82.44</v>
      </c>
    </row>
    <row r="41" spans="1:25" ht="14.4" thickBot="1" x14ac:dyDescent="0.3">
      <c r="A41" s="1" t="s">
        <v>84</v>
      </c>
      <c r="B41" s="12">
        <v>160.9</v>
      </c>
      <c r="C41" s="12">
        <v>164.5</v>
      </c>
      <c r="D41" s="12">
        <v>168.2</v>
      </c>
      <c r="E41" s="12">
        <v>172.3</v>
      </c>
      <c r="F41" s="12">
        <v>176.4</v>
      </c>
      <c r="G41" s="12">
        <v>180.1</v>
      </c>
      <c r="H41" s="12">
        <v>183.7</v>
      </c>
      <c r="I41" s="12">
        <v>46.04</v>
      </c>
      <c r="J41" s="12">
        <v>50.11</v>
      </c>
      <c r="K41" s="12">
        <v>54.73</v>
      </c>
      <c r="L41" s="12">
        <v>60.68</v>
      </c>
      <c r="M41" s="12">
        <v>67.510000000000005</v>
      </c>
      <c r="N41" s="12">
        <v>74.62</v>
      </c>
      <c r="O41" s="12">
        <v>82.7</v>
      </c>
    </row>
    <row r="42" spans="1:25" ht="14.4" thickBot="1" x14ac:dyDescent="0.3">
      <c r="A42" s="2" t="s">
        <v>85</v>
      </c>
      <c r="B42" s="13">
        <v>161.30000000000001</v>
      </c>
      <c r="C42" s="13">
        <v>164.9</v>
      </c>
      <c r="D42" s="13">
        <v>168.6</v>
      </c>
      <c r="E42" s="13">
        <v>172.7</v>
      </c>
      <c r="F42" s="13">
        <v>176.7</v>
      </c>
      <c r="G42" s="13">
        <v>180.4</v>
      </c>
      <c r="H42" s="13">
        <v>183.9</v>
      </c>
      <c r="I42" s="13">
        <v>47.01</v>
      </c>
      <c r="J42" s="13">
        <v>51.02</v>
      </c>
      <c r="K42" s="13">
        <v>55.6</v>
      </c>
      <c r="L42" s="13">
        <v>61.4</v>
      </c>
      <c r="M42" s="13">
        <v>68.11</v>
      </c>
      <c r="N42" s="13">
        <v>75.08</v>
      </c>
      <c r="O42" s="13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477F-9C23-49B7-817B-A61C63B4A53E}">
  <sheetPr>
    <tabColor rgb="FFFF99CC"/>
  </sheetPr>
  <dimension ref="A1:Y42"/>
  <sheetViews>
    <sheetView workbookViewId="0">
      <selection activeCell="Q1" sqref="Q1:Y1"/>
    </sheetView>
  </sheetViews>
  <sheetFormatPr defaultRowHeight="10.199999999999999" x14ac:dyDescent="0.2"/>
  <cols>
    <col min="1" max="1" width="5.6640625" style="34" bestFit="1" customWidth="1"/>
    <col min="2" max="8" width="4.77734375" style="34" bestFit="1" customWidth="1"/>
    <col min="9" max="15" width="6.44140625" style="34" bestFit="1" customWidth="1"/>
    <col min="16" max="16" width="7.109375" style="34" bestFit="1" customWidth="1"/>
    <col min="17" max="18" width="4" style="34" bestFit="1" customWidth="1"/>
    <col min="19" max="25" width="4.33203125" style="34" bestFit="1" customWidth="1"/>
    <col min="26" max="16384" width="8.88671875" style="34"/>
  </cols>
  <sheetData>
    <row r="1" spans="1:25" ht="12" thickBot="1" x14ac:dyDescent="0.25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1</v>
      </c>
      <c r="J1" s="33" t="s">
        <v>2</v>
      </c>
      <c r="K1" s="33" t="s">
        <v>3</v>
      </c>
      <c r="L1" s="33" t="s">
        <v>4</v>
      </c>
      <c r="M1" s="33" t="s">
        <v>5</v>
      </c>
      <c r="N1" s="33" t="s">
        <v>6</v>
      </c>
      <c r="O1" s="33" t="s">
        <v>7</v>
      </c>
      <c r="P1" s="38" t="s">
        <v>90</v>
      </c>
      <c r="Q1" s="33" t="s">
        <v>1</v>
      </c>
      <c r="R1" s="33" t="s">
        <v>15</v>
      </c>
      <c r="S1" s="33" t="s">
        <v>2</v>
      </c>
      <c r="T1" s="33" t="s">
        <v>16</v>
      </c>
      <c r="U1" s="33" t="s">
        <v>4</v>
      </c>
      <c r="V1" s="33" t="s">
        <v>17</v>
      </c>
      <c r="W1" s="33" t="s">
        <v>6</v>
      </c>
      <c r="X1" s="33" t="s">
        <v>18</v>
      </c>
      <c r="Y1" s="33" t="s">
        <v>7</v>
      </c>
    </row>
    <row r="2" spans="1:25" ht="12" thickBot="1" x14ac:dyDescent="0.25">
      <c r="A2" s="25">
        <v>0</v>
      </c>
      <c r="B2" s="12">
        <v>46.6</v>
      </c>
      <c r="C2" s="12">
        <v>47.5</v>
      </c>
      <c r="D2" s="12">
        <v>48.6</v>
      </c>
      <c r="E2" s="12">
        <v>49.7</v>
      </c>
      <c r="F2" s="12">
        <v>50.9</v>
      </c>
      <c r="G2" s="12">
        <v>51.9</v>
      </c>
      <c r="H2" s="12">
        <v>53</v>
      </c>
      <c r="I2" s="35">
        <v>2.57</v>
      </c>
      <c r="J2" s="35">
        <v>2.76</v>
      </c>
      <c r="K2" s="35">
        <v>2.96</v>
      </c>
      <c r="L2" s="35">
        <v>3.21</v>
      </c>
      <c r="M2" s="35">
        <v>3.49</v>
      </c>
      <c r="N2" s="35">
        <v>3.75</v>
      </c>
      <c r="O2" s="35">
        <v>4.04</v>
      </c>
      <c r="P2" s="25">
        <v>2</v>
      </c>
      <c r="Q2" s="12">
        <v>13.9</v>
      </c>
      <c r="R2" s="12">
        <v>14.1</v>
      </c>
      <c r="S2" s="12">
        <v>14.5</v>
      </c>
      <c r="T2" s="12">
        <v>14.8</v>
      </c>
      <c r="U2" s="12">
        <v>15.9</v>
      </c>
      <c r="V2" s="12">
        <v>17.3</v>
      </c>
      <c r="W2" s="12">
        <v>17.7</v>
      </c>
      <c r="X2" s="12">
        <v>18.2</v>
      </c>
      <c r="Y2" s="12">
        <v>18.600000000000001</v>
      </c>
    </row>
    <row r="3" spans="1:25" ht="12" thickBot="1" x14ac:dyDescent="0.25">
      <c r="A3" s="25" t="s">
        <v>91</v>
      </c>
      <c r="B3" s="12">
        <v>53.4</v>
      </c>
      <c r="C3" s="12">
        <v>54.7</v>
      </c>
      <c r="D3" s="12">
        <v>56</v>
      </c>
      <c r="E3" s="12">
        <v>57.4</v>
      </c>
      <c r="F3" s="12">
        <v>58.9</v>
      </c>
      <c r="G3" s="12">
        <v>60.2</v>
      </c>
      <c r="H3" s="12">
        <v>61.6</v>
      </c>
      <c r="I3" s="35">
        <v>4.21</v>
      </c>
      <c r="J3" s="35">
        <v>4.5</v>
      </c>
      <c r="K3" s="35">
        <v>4.82</v>
      </c>
      <c r="L3" s="35">
        <v>5.21</v>
      </c>
      <c r="M3" s="35">
        <v>5.64</v>
      </c>
      <c r="N3" s="35">
        <v>6.06</v>
      </c>
      <c r="O3" s="35">
        <v>6.51</v>
      </c>
      <c r="P3" s="25">
        <v>2.5</v>
      </c>
      <c r="Q3" s="12">
        <v>13.6</v>
      </c>
      <c r="R3" s="12">
        <v>13.9</v>
      </c>
      <c r="S3" s="12">
        <v>14.2</v>
      </c>
      <c r="T3" s="12">
        <v>14.5</v>
      </c>
      <c r="U3" s="12">
        <v>15.6</v>
      </c>
      <c r="V3" s="12">
        <v>17</v>
      </c>
      <c r="W3" s="12">
        <v>17.3</v>
      </c>
      <c r="X3" s="12">
        <v>17.899999999999999</v>
      </c>
      <c r="Y3" s="12">
        <v>18.3</v>
      </c>
    </row>
    <row r="4" spans="1:25" ht="12" thickBot="1" x14ac:dyDescent="0.25">
      <c r="A4" s="25" t="s">
        <v>92</v>
      </c>
      <c r="B4" s="12">
        <v>59.1</v>
      </c>
      <c r="C4" s="12">
        <v>60.3</v>
      </c>
      <c r="D4" s="12">
        <v>61.7</v>
      </c>
      <c r="E4" s="12">
        <v>63.1</v>
      </c>
      <c r="F4" s="12">
        <v>64.599999999999994</v>
      </c>
      <c r="G4" s="12">
        <v>66</v>
      </c>
      <c r="H4" s="12">
        <v>67.400000000000006</v>
      </c>
      <c r="I4" s="35">
        <v>5.55</v>
      </c>
      <c r="J4" s="35">
        <v>5.93</v>
      </c>
      <c r="K4" s="35">
        <v>6.34</v>
      </c>
      <c r="L4" s="35">
        <v>6.83</v>
      </c>
      <c r="M4" s="35">
        <v>7.37</v>
      </c>
      <c r="N4" s="35">
        <v>7.9</v>
      </c>
      <c r="O4" s="35">
        <v>8.4700000000000006</v>
      </c>
      <c r="P4" s="25">
        <v>3</v>
      </c>
      <c r="Q4" s="12">
        <v>13.5</v>
      </c>
      <c r="R4" s="12">
        <v>13.7</v>
      </c>
      <c r="S4" s="12">
        <v>14</v>
      </c>
      <c r="T4" s="12">
        <v>14.3</v>
      </c>
      <c r="U4" s="12">
        <v>15.4</v>
      </c>
      <c r="V4" s="12">
        <v>16.8</v>
      </c>
      <c r="W4" s="12">
        <v>17.100000000000001</v>
      </c>
      <c r="X4" s="12">
        <v>17.7</v>
      </c>
      <c r="Y4" s="12">
        <v>18</v>
      </c>
    </row>
    <row r="5" spans="1:25" ht="12" thickBot="1" x14ac:dyDescent="0.25">
      <c r="A5" s="25" t="s">
        <v>42</v>
      </c>
      <c r="B5" s="12">
        <v>62.5</v>
      </c>
      <c r="C5" s="12">
        <v>63.9</v>
      </c>
      <c r="D5" s="12">
        <v>65.2</v>
      </c>
      <c r="E5" s="12">
        <v>66.8</v>
      </c>
      <c r="F5" s="12">
        <v>68.400000000000006</v>
      </c>
      <c r="G5" s="12">
        <v>69.8</v>
      </c>
      <c r="H5" s="12">
        <v>71.2</v>
      </c>
      <c r="I5" s="35">
        <v>6.34</v>
      </c>
      <c r="J5" s="35">
        <v>6.76</v>
      </c>
      <c r="K5" s="35">
        <v>7.21</v>
      </c>
      <c r="L5" s="35">
        <v>7.77</v>
      </c>
      <c r="M5" s="35">
        <v>8.3699999999999992</v>
      </c>
      <c r="N5" s="35">
        <v>8.9600000000000009</v>
      </c>
      <c r="O5" s="35">
        <v>9.59</v>
      </c>
      <c r="P5" s="25">
        <v>3.5</v>
      </c>
      <c r="Q5" s="12">
        <v>13.3</v>
      </c>
      <c r="R5" s="12">
        <v>13.5</v>
      </c>
      <c r="S5" s="12">
        <v>13.9</v>
      </c>
      <c r="T5" s="12">
        <v>14.1</v>
      </c>
      <c r="U5" s="12">
        <v>15.3</v>
      </c>
      <c r="V5" s="12">
        <v>16.600000000000001</v>
      </c>
      <c r="W5" s="12">
        <v>17</v>
      </c>
      <c r="X5" s="12">
        <v>17.5</v>
      </c>
      <c r="Y5" s="12">
        <v>17.899999999999999</v>
      </c>
    </row>
    <row r="6" spans="1:25" ht="12" thickBot="1" x14ac:dyDescent="0.25">
      <c r="A6" s="25" t="s">
        <v>93</v>
      </c>
      <c r="B6" s="12">
        <v>66.400000000000006</v>
      </c>
      <c r="C6" s="12">
        <v>67.8</v>
      </c>
      <c r="D6" s="12">
        <v>69.3</v>
      </c>
      <c r="E6" s="12">
        <v>71</v>
      </c>
      <c r="F6" s="12">
        <v>72.8</v>
      </c>
      <c r="G6" s="12">
        <v>74.3</v>
      </c>
      <c r="H6" s="12">
        <v>75.900000000000006</v>
      </c>
      <c r="I6" s="35">
        <v>7.11</v>
      </c>
      <c r="J6" s="35">
        <v>7.58</v>
      </c>
      <c r="K6" s="35">
        <v>8.08</v>
      </c>
      <c r="L6" s="35">
        <v>8.69</v>
      </c>
      <c r="M6" s="35">
        <v>9.36</v>
      </c>
      <c r="N6" s="35">
        <v>10.01</v>
      </c>
      <c r="O6" s="35">
        <v>10.71</v>
      </c>
      <c r="P6" s="25">
        <v>4</v>
      </c>
      <c r="Q6" s="12">
        <v>13.2</v>
      </c>
      <c r="R6" s="12">
        <v>13.4</v>
      </c>
      <c r="S6" s="12">
        <v>13.7</v>
      </c>
      <c r="T6" s="12">
        <v>14</v>
      </c>
      <c r="U6" s="12">
        <v>15.2</v>
      </c>
      <c r="V6" s="12">
        <v>16.5</v>
      </c>
      <c r="W6" s="12">
        <v>16.899999999999999</v>
      </c>
      <c r="X6" s="12">
        <v>17.5</v>
      </c>
      <c r="Y6" s="12">
        <v>17.8</v>
      </c>
    </row>
    <row r="7" spans="1:25" ht="12" thickBot="1" x14ac:dyDescent="0.25">
      <c r="A7" s="25" t="s">
        <v>39</v>
      </c>
      <c r="B7" s="12">
        <v>70</v>
      </c>
      <c r="C7" s="12">
        <v>71.599999999999994</v>
      </c>
      <c r="D7" s="12">
        <v>73.2</v>
      </c>
      <c r="E7" s="12">
        <v>75</v>
      </c>
      <c r="F7" s="12">
        <v>76.8</v>
      </c>
      <c r="G7" s="12">
        <v>78.5</v>
      </c>
      <c r="H7" s="12">
        <v>80.2</v>
      </c>
      <c r="I7" s="35">
        <v>7.7</v>
      </c>
      <c r="J7" s="35">
        <v>8.1999999999999993</v>
      </c>
      <c r="K7" s="35">
        <v>8.74</v>
      </c>
      <c r="L7" s="35">
        <v>9.4</v>
      </c>
      <c r="M7" s="35">
        <v>10.119999999999999</v>
      </c>
      <c r="N7" s="35">
        <v>10.82</v>
      </c>
      <c r="O7" s="35">
        <v>11.57</v>
      </c>
      <c r="P7" s="25">
        <v>4.5</v>
      </c>
      <c r="Q7" s="12">
        <v>13</v>
      </c>
      <c r="R7" s="12">
        <v>13.3</v>
      </c>
      <c r="S7" s="12">
        <v>13.6</v>
      </c>
      <c r="T7" s="12">
        <v>13.9</v>
      </c>
      <c r="U7" s="12">
        <v>15.1</v>
      </c>
      <c r="V7" s="12">
        <v>16.5</v>
      </c>
      <c r="W7" s="12">
        <v>16.8</v>
      </c>
      <c r="X7" s="12">
        <v>17.399999999999999</v>
      </c>
      <c r="Y7" s="12">
        <v>17.8</v>
      </c>
    </row>
    <row r="8" spans="1:25" ht="12" thickBot="1" x14ac:dyDescent="0.25">
      <c r="A8" s="25" t="s">
        <v>94</v>
      </c>
      <c r="B8" s="12">
        <v>73.2</v>
      </c>
      <c r="C8" s="12">
        <v>74.900000000000006</v>
      </c>
      <c r="D8" s="12">
        <v>76.599999999999994</v>
      </c>
      <c r="E8" s="12">
        <v>78.5</v>
      </c>
      <c r="F8" s="12">
        <v>80.400000000000006</v>
      </c>
      <c r="G8" s="12">
        <v>82.2</v>
      </c>
      <c r="H8" s="12">
        <v>84</v>
      </c>
      <c r="I8" s="35">
        <v>8.2200000000000006</v>
      </c>
      <c r="J8" s="35">
        <v>8.75</v>
      </c>
      <c r="K8" s="35">
        <v>9.33</v>
      </c>
      <c r="L8" s="35">
        <v>10.02</v>
      </c>
      <c r="M8" s="35">
        <v>10.79</v>
      </c>
      <c r="N8" s="35">
        <v>11.53</v>
      </c>
      <c r="O8" s="35">
        <v>12.33</v>
      </c>
      <c r="P8" s="25">
        <v>5</v>
      </c>
      <c r="Q8" s="12">
        <v>12.9</v>
      </c>
      <c r="R8" s="12">
        <v>13.2</v>
      </c>
      <c r="S8" s="12">
        <v>13.5</v>
      </c>
      <c r="T8" s="12">
        <v>13.8</v>
      </c>
      <c r="U8" s="12">
        <v>15</v>
      </c>
      <c r="V8" s="12">
        <v>16.5</v>
      </c>
      <c r="W8" s="12">
        <v>16.8</v>
      </c>
      <c r="X8" s="12">
        <v>17.5</v>
      </c>
      <c r="Y8" s="12">
        <v>17.899999999999999</v>
      </c>
    </row>
    <row r="9" spans="1:25" ht="12" thickBot="1" x14ac:dyDescent="0.25">
      <c r="A9" s="25" t="s">
        <v>36</v>
      </c>
      <c r="B9" s="12">
        <v>76</v>
      </c>
      <c r="C9" s="12">
        <v>77.7</v>
      </c>
      <c r="D9" s="12">
        <v>79.5</v>
      </c>
      <c r="E9" s="12">
        <v>81.5</v>
      </c>
      <c r="F9" s="12">
        <v>83.6</v>
      </c>
      <c r="G9" s="12">
        <v>85.5</v>
      </c>
      <c r="H9" s="12">
        <v>87.4</v>
      </c>
      <c r="I9" s="35">
        <v>8.73</v>
      </c>
      <c r="J9" s="35">
        <v>9.2899999999999991</v>
      </c>
      <c r="K9" s="35">
        <v>9.91</v>
      </c>
      <c r="L9" s="35">
        <v>10.65</v>
      </c>
      <c r="M9" s="35">
        <v>11.46</v>
      </c>
      <c r="N9" s="35">
        <v>12.25</v>
      </c>
      <c r="O9" s="35">
        <v>13.11</v>
      </c>
      <c r="P9" s="25">
        <v>5.5</v>
      </c>
      <c r="Q9" s="12">
        <v>12.8</v>
      </c>
      <c r="R9" s="12">
        <v>13.1</v>
      </c>
      <c r="S9" s="12">
        <v>13.4</v>
      </c>
      <c r="T9" s="12">
        <v>13.7</v>
      </c>
      <c r="U9" s="12">
        <v>15</v>
      </c>
      <c r="V9" s="12">
        <v>16.5</v>
      </c>
      <c r="W9" s="12">
        <v>16.899999999999999</v>
      </c>
      <c r="X9" s="12">
        <v>17.5</v>
      </c>
      <c r="Y9" s="12">
        <v>18</v>
      </c>
    </row>
    <row r="10" spans="1:25" ht="12" thickBot="1" x14ac:dyDescent="0.25">
      <c r="A10" s="25" t="s">
        <v>95</v>
      </c>
      <c r="B10" s="12">
        <v>78.5</v>
      </c>
      <c r="C10" s="12">
        <v>80.400000000000006</v>
      </c>
      <c r="D10" s="12">
        <v>82.3</v>
      </c>
      <c r="E10" s="12">
        <v>84.4</v>
      </c>
      <c r="F10" s="12">
        <v>86.6</v>
      </c>
      <c r="G10" s="12">
        <v>88.6</v>
      </c>
      <c r="H10" s="12">
        <v>90.7</v>
      </c>
      <c r="I10" s="35">
        <v>9.26</v>
      </c>
      <c r="J10" s="35">
        <v>9.86</v>
      </c>
      <c r="K10" s="35">
        <v>10.51</v>
      </c>
      <c r="L10" s="35">
        <v>11.3</v>
      </c>
      <c r="M10" s="35">
        <v>12.17</v>
      </c>
      <c r="N10" s="35">
        <v>13.01</v>
      </c>
      <c r="O10" s="35">
        <v>13.93</v>
      </c>
      <c r="P10" s="25">
        <v>6</v>
      </c>
      <c r="Q10" s="12">
        <v>12.8</v>
      </c>
      <c r="R10" s="12">
        <v>13</v>
      </c>
      <c r="S10" s="12">
        <v>13.4</v>
      </c>
      <c r="T10" s="12">
        <v>13.7</v>
      </c>
      <c r="U10" s="12">
        <v>15</v>
      </c>
      <c r="V10" s="12">
        <v>16.5</v>
      </c>
      <c r="W10" s="12">
        <v>17</v>
      </c>
      <c r="X10" s="12">
        <v>17.600000000000001</v>
      </c>
      <c r="Y10" s="12">
        <v>18.100000000000001</v>
      </c>
    </row>
    <row r="11" spans="1:25" ht="12" thickBot="1" x14ac:dyDescent="0.25">
      <c r="A11" s="25" t="s">
        <v>33</v>
      </c>
      <c r="B11" s="12">
        <v>80.900000000000006</v>
      </c>
      <c r="C11" s="12">
        <v>82.9</v>
      </c>
      <c r="D11" s="12">
        <v>84.9</v>
      </c>
      <c r="E11" s="12">
        <v>87.2</v>
      </c>
      <c r="F11" s="12">
        <v>89.6</v>
      </c>
      <c r="G11" s="12">
        <v>91.7</v>
      </c>
      <c r="H11" s="12">
        <v>93.9</v>
      </c>
      <c r="I11" s="35">
        <v>9.76</v>
      </c>
      <c r="J11" s="35">
        <v>10.39</v>
      </c>
      <c r="K11" s="35">
        <v>11.08</v>
      </c>
      <c r="L11" s="35">
        <v>11.92</v>
      </c>
      <c r="M11" s="35">
        <v>12.84</v>
      </c>
      <c r="N11" s="35">
        <v>13.74</v>
      </c>
      <c r="O11" s="35">
        <v>14.71</v>
      </c>
      <c r="P11" s="25">
        <v>6.5</v>
      </c>
      <c r="Q11" s="12">
        <v>12.7</v>
      </c>
      <c r="R11" s="12">
        <v>13</v>
      </c>
      <c r="S11" s="12">
        <v>13.4</v>
      </c>
      <c r="T11" s="12">
        <v>13.6</v>
      </c>
      <c r="U11" s="12">
        <v>15</v>
      </c>
      <c r="V11" s="12">
        <v>16.600000000000001</v>
      </c>
      <c r="W11" s="12">
        <v>17.100000000000001</v>
      </c>
      <c r="X11" s="12">
        <v>17.8</v>
      </c>
      <c r="Y11" s="12">
        <v>18.2</v>
      </c>
    </row>
    <row r="12" spans="1:25" ht="12" thickBot="1" x14ac:dyDescent="0.25">
      <c r="A12" s="25" t="s">
        <v>47</v>
      </c>
      <c r="B12" s="12">
        <v>85.2</v>
      </c>
      <c r="C12" s="12">
        <v>87.4</v>
      </c>
      <c r="D12" s="12">
        <v>89.6</v>
      </c>
      <c r="E12" s="12">
        <v>92.1</v>
      </c>
      <c r="F12" s="12">
        <v>94.6</v>
      </c>
      <c r="G12" s="12">
        <v>97</v>
      </c>
      <c r="H12" s="12">
        <v>99.3</v>
      </c>
      <c r="I12" s="35">
        <v>10.65</v>
      </c>
      <c r="J12" s="35">
        <v>11.35</v>
      </c>
      <c r="K12" s="35">
        <v>12.12</v>
      </c>
      <c r="L12" s="35">
        <v>13.05</v>
      </c>
      <c r="M12" s="35">
        <v>14.07</v>
      </c>
      <c r="N12" s="35">
        <v>15.08</v>
      </c>
      <c r="O12" s="35">
        <v>16.16</v>
      </c>
      <c r="P12" s="25">
        <v>7</v>
      </c>
      <c r="Q12" s="12">
        <v>12.7</v>
      </c>
      <c r="R12" s="12">
        <v>12.9</v>
      </c>
      <c r="S12" s="12">
        <v>13.3</v>
      </c>
      <c r="T12" s="12">
        <v>13.6</v>
      </c>
      <c r="U12" s="12">
        <v>15</v>
      </c>
      <c r="V12" s="12">
        <v>16.7</v>
      </c>
      <c r="W12" s="12">
        <v>17.2</v>
      </c>
      <c r="X12" s="12">
        <v>17.899999999999999</v>
      </c>
      <c r="Y12" s="12">
        <v>18.5</v>
      </c>
    </row>
    <row r="13" spans="1:25" ht="12" thickBot="1" x14ac:dyDescent="0.25">
      <c r="A13" s="25" t="s">
        <v>31</v>
      </c>
      <c r="B13" s="12">
        <v>88.6</v>
      </c>
      <c r="C13" s="12">
        <v>90.8</v>
      </c>
      <c r="D13" s="12">
        <v>93.1</v>
      </c>
      <c r="E13" s="12">
        <v>95.6</v>
      </c>
      <c r="F13" s="12">
        <v>98.2</v>
      </c>
      <c r="G13" s="12">
        <v>100.5</v>
      </c>
      <c r="H13" s="12">
        <v>102.9</v>
      </c>
      <c r="I13" s="35">
        <v>11.5</v>
      </c>
      <c r="J13" s="35">
        <v>12.27</v>
      </c>
      <c r="K13" s="35">
        <v>13.11</v>
      </c>
      <c r="L13" s="35">
        <v>14.13</v>
      </c>
      <c r="M13" s="35">
        <v>15.25</v>
      </c>
      <c r="N13" s="35">
        <v>16.36</v>
      </c>
      <c r="O13" s="35">
        <v>17.55</v>
      </c>
      <c r="P13" s="25">
        <v>7.5</v>
      </c>
      <c r="Q13" s="12">
        <v>12.7</v>
      </c>
      <c r="R13" s="12">
        <v>12.9</v>
      </c>
      <c r="S13" s="12">
        <v>13.4</v>
      </c>
      <c r="T13" s="12">
        <v>13.7</v>
      </c>
      <c r="U13" s="12">
        <v>15.1</v>
      </c>
      <c r="V13" s="12">
        <v>16.899999999999999</v>
      </c>
      <c r="W13" s="12">
        <v>17.399999999999999</v>
      </c>
      <c r="X13" s="12">
        <v>18.2</v>
      </c>
      <c r="Y13" s="12">
        <v>18.7</v>
      </c>
    </row>
    <row r="14" spans="1:25" ht="12" thickBot="1" x14ac:dyDescent="0.25">
      <c r="A14" s="25" t="s">
        <v>58</v>
      </c>
      <c r="B14" s="12">
        <v>92.4</v>
      </c>
      <c r="C14" s="12">
        <v>94.6</v>
      </c>
      <c r="D14" s="12">
        <v>96.8</v>
      </c>
      <c r="E14" s="12">
        <v>99.4</v>
      </c>
      <c r="F14" s="12">
        <v>102</v>
      </c>
      <c r="G14" s="12">
        <v>104.4</v>
      </c>
      <c r="H14" s="12">
        <v>106.8</v>
      </c>
      <c r="I14" s="35">
        <v>12.32</v>
      </c>
      <c r="J14" s="35">
        <v>13.14</v>
      </c>
      <c r="K14" s="35">
        <v>14.05</v>
      </c>
      <c r="L14" s="35">
        <v>15.16</v>
      </c>
      <c r="M14" s="35">
        <v>16.38</v>
      </c>
      <c r="N14" s="35">
        <v>17.59</v>
      </c>
      <c r="O14" s="35">
        <v>18.89</v>
      </c>
      <c r="P14" s="25">
        <v>8</v>
      </c>
      <c r="Q14" s="12">
        <v>12.7</v>
      </c>
      <c r="R14" s="12">
        <v>13</v>
      </c>
      <c r="S14" s="12">
        <v>13.4</v>
      </c>
      <c r="T14" s="12">
        <v>13.7</v>
      </c>
      <c r="U14" s="12">
        <v>15.2</v>
      </c>
      <c r="V14" s="12">
        <v>17.100000000000001</v>
      </c>
      <c r="W14" s="12">
        <v>17.600000000000001</v>
      </c>
      <c r="X14" s="12">
        <v>18.5</v>
      </c>
      <c r="Y14" s="12">
        <v>19</v>
      </c>
    </row>
    <row r="15" spans="1:25" ht="12" thickBot="1" x14ac:dyDescent="0.25">
      <c r="A15" s="25" t="s">
        <v>59</v>
      </c>
      <c r="B15" s="12">
        <v>95.8</v>
      </c>
      <c r="C15" s="12">
        <v>98.1</v>
      </c>
      <c r="D15" s="12">
        <v>100.4</v>
      </c>
      <c r="E15" s="12">
        <v>103.1</v>
      </c>
      <c r="F15" s="12">
        <v>105.7</v>
      </c>
      <c r="G15" s="12">
        <v>108.2</v>
      </c>
      <c r="H15" s="12">
        <v>110.6</v>
      </c>
      <c r="I15" s="35">
        <v>13.1</v>
      </c>
      <c r="J15" s="35">
        <v>13.99</v>
      </c>
      <c r="K15" s="35">
        <v>14.97</v>
      </c>
      <c r="L15" s="35">
        <v>16.170000000000002</v>
      </c>
      <c r="M15" s="35">
        <v>17.5</v>
      </c>
      <c r="N15" s="35">
        <v>18.809999999999999</v>
      </c>
      <c r="O15" s="35">
        <v>20.239999999999998</v>
      </c>
      <c r="P15" s="25">
        <v>8.5</v>
      </c>
      <c r="Q15" s="12">
        <v>12.7</v>
      </c>
      <c r="R15" s="12">
        <v>13</v>
      </c>
      <c r="S15" s="12">
        <v>13.5</v>
      </c>
      <c r="T15" s="12">
        <v>13.8</v>
      </c>
      <c r="U15" s="12">
        <v>15.4</v>
      </c>
      <c r="V15" s="12">
        <v>17.399999999999999</v>
      </c>
      <c r="W15" s="12">
        <v>17.899999999999999</v>
      </c>
      <c r="X15" s="12">
        <v>18.8</v>
      </c>
      <c r="Y15" s="12">
        <v>19.399999999999999</v>
      </c>
    </row>
    <row r="16" spans="1:25" ht="12" thickBot="1" x14ac:dyDescent="0.25">
      <c r="A16" s="25" t="s">
        <v>60</v>
      </c>
      <c r="B16" s="12">
        <v>99.2</v>
      </c>
      <c r="C16" s="12">
        <v>101.5</v>
      </c>
      <c r="D16" s="12">
        <v>104</v>
      </c>
      <c r="E16" s="12">
        <v>106.7</v>
      </c>
      <c r="F16" s="12">
        <v>109.5</v>
      </c>
      <c r="G16" s="12">
        <v>112.1</v>
      </c>
      <c r="H16" s="12">
        <v>114.7</v>
      </c>
      <c r="I16" s="35">
        <v>13.89</v>
      </c>
      <c r="J16" s="35">
        <v>14.85</v>
      </c>
      <c r="K16" s="35">
        <v>15.92</v>
      </c>
      <c r="L16" s="35">
        <v>17.22</v>
      </c>
      <c r="M16" s="35">
        <v>18.66</v>
      </c>
      <c r="N16" s="35">
        <v>20.100000000000001</v>
      </c>
      <c r="O16" s="35">
        <v>21.67</v>
      </c>
      <c r="P16" s="25">
        <v>9</v>
      </c>
      <c r="Q16" s="12">
        <v>12.8</v>
      </c>
      <c r="R16" s="12">
        <v>13.1</v>
      </c>
      <c r="S16" s="12">
        <v>13.6</v>
      </c>
      <c r="T16" s="12">
        <v>13.9</v>
      </c>
      <c r="U16" s="12">
        <v>15.6</v>
      </c>
      <c r="V16" s="12">
        <v>17.7</v>
      </c>
      <c r="W16" s="12">
        <v>18.3</v>
      </c>
      <c r="X16" s="12">
        <v>19.2</v>
      </c>
      <c r="Y16" s="12">
        <v>19.899999999999999</v>
      </c>
    </row>
    <row r="17" spans="1:25" ht="12" thickBot="1" x14ac:dyDescent="0.25">
      <c r="A17" s="25" t="s">
        <v>61</v>
      </c>
      <c r="B17" s="12">
        <v>102.3</v>
      </c>
      <c r="C17" s="12">
        <v>104.8</v>
      </c>
      <c r="D17" s="12">
        <v>107.3</v>
      </c>
      <c r="E17" s="12">
        <v>110.2</v>
      </c>
      <c r="F17" s="12">
        <v>113.1</v>
      </c>
      <c r="G17" s="12">
        <v>119.3</v>
      </c>
      <c r="H17" s="12">
        <v>118.4</v>
      </c>
      <c r="I17" s="35">
        <v>14.64</v>
      </c>
      <c r="J17" s="35">
        <v>15.68</v>
      </c>
      <c r="K17" s="35">
        <v>16.84</v>
      </c>
      <c r="L17" s="35">
        <v>18.260000000000002</v>
      </c>
      <c r="M17" s="35">
        <v>19.829999999999998</v>
      </c>
      <c r="N17" s="35">
        <v>21.41</v>
      </c>
      <c r="O17" s="35">
        <v>23.14</v>
      </c>
      <c r="P17" s="25">
        <v>9.5</v>
      </c>
      <c r="Q17" s="12">
        <v>13</v>
      </c>
      <c r="R17" s="12">
        <v>13.3</v>
      </c>
      <c r="S17" s="12">
        <v>13.7</v>
      </c>
      <c r="T17" s="12">
        <v>14.1</v>
      </c>
      <c r="U17" s="12">
        <v>15.8</v>
      </c>
      <c r="V17" s="12">
        <v>18</v>
      </c>
      <c r="W17" s="12">
        <v>18.7</v>
      </c>
      <c r="X17" s="12">
        <v>19.7</v>
      </c>
      <c r="Y17" s="12">
        <v>20.399999999999999</v>
      </c>
    </row>
    <row r="18" spans="1:25" ht="12" thickBot="1" x14ac:dyDescent="0.25">
      <c r="A18" s="25" t="s">
        <v>62</v>
      </c>
      <c r="B18" s="12">
        <v>105.4</v>
      </c>
      <c r="C18" s="12">
        <v>108</v>
      </c>
      <c r="D18" s="12">
        <v>110.6</v>
      </c>
      <c r="E18" s="12">
        <v>113.5</v>
      </c>
      <c r="F18" s="12">
        <v>116.5</v>
      </c>
      <c r="G18" s="12">
        <v>122.5</v>
      </c>
      <c r="H18" s="12">
        <v>122</v>
      </c>
      <c r="I18" s="35">
        <v>15.39</v>
      </c>
      <c r="J18" s="35">
        <v>16.52</v>
      </c>
      <c r="K18" s="35">
        <v>17.78</v>
      </c>
      <c r="L18" s="35">
        <v>19.329999999999998</v>
      </c>
      <c r="M18" s="35">
        <v>21.06</v>
      </c>
      <c r="N18" s="35">
        <v>22.81</v>
      </c>
      <c r="O18" s="35">
        <v>24.72</v>
      </c>
      <c r="P18" s="25">
        <v>10</v>
      </c>
      <c r="Q18" s="12">
        <v>13.1</v>
      </c>
      <c r="R18" s="12">
        <v>13.4</v>
      </c>
      <c r="S18" s="12">
        <v>13.9</v>
      </c>
      <c r="T18" s="12">
        <v>14.3</v>
      </c>
      <c r="U18" s="12">
        <v>16.100000000000001</v>
      </c>
      <c r="V18" s="12">
        <v>18.399999999999999</v>
      </c>
      <c r="W18" s="12">
        <v>19.100000000000001</v>
      </c>
      <c r="X18" s="12">
        <v>20.100000000000001</v>
      </c>
      <c r="Y18" s="12">
        <v>20.9</v>
      </c>
    </row>
    <row r="19" spans="1:25" ht="12" thickBot="1" x14ac:dyDescent="0.25">
      <c r="A19" s="25" t="s">
        <v>63</v>
      </c>
      <c r="B19" s="12">
        <v>108.1</v>
      </c>
      <c r="C19" s="12">
        <v>110.8</v>
      </c>
      <c r="D19" s="12">
        <v>113.5</v>
      </c>
      <c r="E19" s="12">
        <v>116.6</v>
      </c>
      <c r="F19" s="12">
        <v>119.7</v>
      </c>
      <c r="G19" s="12">
        <v>122.5</v>
      </c>
      <c r="H19" s="12">
        <v>125.4</v>
      </c>
      <c r="I19" s="35">
        <v>16.100000000000001</v>
      </c>
      <c r="J19" s="35">
        <v>17.32</v>
      </c>
      <c r="K19" s="35">
        <v>18.68</v>
      </c>
      <c r="L19" s="35">
        <v>20.37</v>
      </c>
      <c r="M19" s="35">
        <v>22.27</v>
      </c>
      <c r="N19" s="35">
        <v>24.19</v>
      </c>
      <c r="O19" s="35">
        <v>26.3</v>
      </c>
      <c r="P19" s="25">
        <v>10.5</v>
      </c>
      <c r="Q19" s="12">
        <v>13.3</v>
      </c>
      <c r="R19" s="12">
        <v>13.6</v>
      </c>
      <c r="S19" s="12">
        <v>14.2</v>
      </c>
      <c r="T19" s="12">
        <v>14.5</v>
      </c>
      <c r="U19" s="12">
        <v>16.399999999999999</v>
      </c>
      <c r="V19" s="12">
        <v>18.8</v>
      </c>
      <c r="W19" s="12">
        <v>19.5</v>
      </c>
      <c r="X19" s="12">
        <v>20.7</v>
      </c>
      <c r="Y19" s="12">
        <v>21.5</v>
      </c>
    </row>
    <row r="20" spans="1:25" ht="12" thickBot="1" x14ac:dyDescent="0.25">
      <c r="A20" s="25" t="s">
        <v>96</v>
      </c>
      <c r="B20" s="12">
        <v>110.6</v>
      </c>
      <c r="C20" s="12">
        <v>113.4</v>
      </c>
      <c r="D20" s="12">
        <v>116.2</v>
      </c>
      <c r="E20" s="12">
        <v>119.4</v>
      </c>
      <c r="F20" s="12">
        <v>122.7</v>
      </c>
      <c r="G20" s="12">
        <v>125.6</v>
      </c>
      <c r="H20" s="12">
        <v>128.6</v>
      </c>
      <c r="I20" s="35">
        <v>16.8</v>
      </c>
      <c r="J20" s="35">
        <v>18.12</v>
      </c>
      <c r="K20" s="35">
        <v>19.600000000000001</v>
      </c>
      <c r="L20" s="35">
        <v>21.44</v>
      </c>
      <c r="M20" s="35">
        <v>23.51</v>
      </c>
      <c r="N20" s="35">
        <v>25.62</v>
      </c>
      <c r="O20" s="35">
        <v>27.96</v>
      </c>
      <c r="P20" s="25">
        <v>11</v>
      </c>
      <c r="Q20" s="12">
        <v>13.5</v>
      </c>
      <c r="R20" s="12">
        <v>13.9</v>
      </c>
      <c r="S20" s="12">
        <v>14.4</v>
      </c>
      <c r="T20" s="12">
        <v>14.8</v>
      </c>
      <c r="U20" s="12">
        <v>16.7</v>
      </c>
      <c r="V20" s="12">
        <v>19.3</v>
      </c>
      <c r="W20" s="12">
        <v>20</v>
      </c>
      <c r="X20" s="12">
        <v>21.2</v>
      </c>
      <c r="Y20" s="12">
        <v>22</v>
      </c>
    </row>
    <row r="21" spans="1:25" ht="12" thickBot="1" x14ac:dyDescent="0.25">
      <c r="A21" s="25" t="s">
        <v>64</v>
      </c>
      <c r="B21" s="12">
        <v>113.3</v>
      </c>
      <c r="C21" s="12">
        <v>116.2</v>
      </c>
      <c r="D21" s="12">
        <v>119.2</v>
      </c>
      <c r="E21" s="12">
        <v>122.5</v>
      </c>
      <c r="F21" s="12">
        <v>125.9</v>
      </c>
      <c r="G21" s="12">
        <v>129</v>
      </c>
      <c r="H21" s="12">
        <v>132.1</v>
      </c>
      <c r="I21" s="35">
        <v>17.579999999999998</v>
      </c>
      <c r="J21" s="35">
        <v>19.010000000000002</v>
      </c>
      <c r="K21" s="35">
        <v>20.62</v>
      </c>
      <c r="L21" s="35">
        <v>22.64</v>
      </c>
      <c r="M21" s="35">
        <v>24.94</v>
      </c>
      <c r="N21" s="35">
        <v>27.28</v>
      </c>
      <c r="O21" s="35">
        <v>29.89</v>
      </c>
      <c r="P21" s="25">
        <v>11.5</v>
      </c>
      <c r="Q21" s="12">
        <v>13.8</v>
      </c>
      <c r="R21" s="12">
        <v>14.1</v>
      </c>
      <c r="S21" s="12">
        <v>14.7</v>
      </c>
      <c r="T21" s="12">
        <v>15.1</v>
      </c>
      <c r="U21" s="12">
        <v>17.100000000000001</v>
      </c>
      <c r="V21" s="12">
        <v>19.7</v>
      </c>
      <c r="W21" s="12">
        <v>20.5</v>
      </c>
      <c r="X21" s="12">
        <v>21.7</v>
      </c>
      <c r="Y21" s="12">
        <v>22.6</v>
      </c>
    </row>
    <row r="22" spans="1:25" ht="12" thickBot="1" x14ac:dyDescent="0.25">
      <c r="A22" s="25" t="s">
        <v>65</v>
      </c>
      <c r="B22" s="12">
        <v>116</v>
      </c>
      <c r="C22" s="12">
        <v>119</v>
      </c>
      <c r="D22" s="12">
        <v>122.1</v>
      </c>
      <c r="E22" s="12">
        <v>125.6</v>
      </c>
      <c r="F22" s="12">
        <v>129.1</v>
      </c>
      <c r="G22" s="12">
        <v>132.30000000000001</v>
      </c>
      <c r="H22" s="12">
        <v>135.5</v>
      </c>
      <c r="I22" s="35">
        <v>18.39</v>
      </c>
      <c r="J22" s="35">
        <v>19.95</v>
      </c>
      <c r="K22" s="35">
        <v>21.71</v>
      </c>
      <c r="L22" s="35">
        <v>23.93</v>
      </c>
      <c r="M22" s="35">
        <v>26.48</v>
      </c>
      <c r="N22" s="35">
        <v>29.08</v>
      </c>
      <c r="O22" s="35">
        <v>32.01</v>
      </c>
      <c r="P22" s="25">
        <v>12</v>
      </c>
      <c r="Q22" s="12">
        <v>14</v>
      </c>
      <c r="R22" s="12">
        <v>14.4</v>
      </c>
      <c r="S22" s="12">
        <v>15</v>
      </c>
      <c r="T22" s="12">
        <v>15.4</v>
      </c>
      <c r="U22" s="12">
        <v>17.399999999999999</v>
      </c>
      <c r="V22" s="12">
        <v>20.2</v>
      </c>
      <c r="W22" s="12">
        <v>21</v>
      </c>
      <c r="X22" s="12">
        <v>22.3</v>
      </c>
      <c r="Y22" s="12">
        <v>23.2</v>
      </c>
    </row>
    <row r="23" spans="1:25" ht="12" thickBot="1" x14ac:dyDescent="0.25">
      <c r="A23" s="25" t="s">
        <v>66</v>
      </c>
      <c r="B23" s="12">
        <v>118.5</v>
      </c>
      <c r="C23" s="12">
        <v>121.6</v>
      </c>
      <c r="D23" s="12">
        <v>124.9</v>
      </c>
      <c r="E23" s="12">
        <v>128.5</v>
      </c>
      <c r="F23" s="12">
        <v>132.1</v>
      </c>
      <c r="G23" s="12">
        <v>135.4</v>
      </c>
      <c r="H23" s="12">
        <v>138.69999999999999</v>
      </c>
      <c r="I23" s="35">
        <v>19.2</v>
      </c>
      <c r="J23" s="35">
        <v>20.89</v>
      </c>
      <c r="K23" s="35">
        <v>22.81</v>
      </c>
      <c r="L23" s="35">
        <v>25.25</v>
      </c>
      <c r="M23" s="35">
        <v>28.05</v>
      </c>
      <c r="N23" s="35">
        <v>30.95</v>
      </c>
      <c r="O23" s="35">
        <v>34.229999999999997</v>
      </c>
      <c r="P23" s="25">
        <v>12.5</v>
      </c>
      <c r="Q23" s="12">
        <v>14.3</v>
      </c>
      <c r="R23" s="12">
        <v>14.6</v>
      </c>
      <c r="S23" s="12">
        <v>15.2</v>
      </c>
      <c r="T23" s="12">
        <v>15.7</v>
      </c>
      <c r="U23" s="12">
        <v>17.8</v>
      </c>
      <c r="V23" s="12">
        <v>20.6</v>
      </c>
      <c r="W23" s="12">
        <v>21.4</v>
      </c>
      <c r="X23" s="12">
        <v>22.8</v>
      </c>
      <c r="Y23" s="12">
        <v>23.7</v>
      </c>
    </row>
    <row r="24" spans="1:25" ht="12" thickBot="1" x14ac:dyDescent="0.25">
      <c r="A24" s="25" t="s">
        <v>67</v>
      </c>
      <c r="B24" s="12">
        <v>121</v>
      </c>
      <c r="C24" s="12">
        <v>124.2</v>
      </c>
      <c r="D24" s="12">
        <v>127.6</v>
      </c>
      <c r="E24" s="12">
        <v>131.30000000000001</v>
      </c>
      <c r="F24" s="12">
        <v>135.1</v>
      </c>
      <c r="G24" s="12">
        <v>138.5</v>
      </c>
      <c r="H24" s="12">
        <v>141.9</v>
      </c>
      <c r="I24" s="35">
        <v>20.05</v>
      </c>
      <c r="J24" s="35">
        <v>21.88</v>
      </c>
      <c r="K24" s="35">
        <v>23.99</v>
      </c>
      <c r="L24" s="35">
        <v>26.67</v>
      </c>
      <c r="M24" s="35">
        <v>29.77</v>
      </c>
      <c r="N24" s="35">
        <v>33</v>
      </c>
      <c r="O24" s="35">
        <v>36.69</v>
      </c>
      <c r="P24" s="25">
        <v>13</v>
      </c>
      <c r="Q24" s="12">
        <v>14.5</v>
      </c>
      <c r="R24" s="12">
        <v>14.9</v>
      </c>
      <c r="S24" s="12">
        <v>15.5</v>
      </c>
      <c r="T24" s="12">
        <v>16</v>
      </c>
      <c r="U24" s="12">
        <v>18.100000000000001</v>
      </c>
      <c r="V24" s="12">
        <v>21.1</v>
      </c>
      <c r="W24" s="12">
        <v>21.9</v>
      </c>
      <c r="X24" s="12">
        <v>23.2</v>
      </c>
      <c r="Y24" s="12">
        <v>24.2</v>
      </c>
    </row>
    <row r="25" spans="1:25" ht="12" thickBot="1" x14ac:dyDescent="0.25">
      <c r="A25" s="25" t="s">
        <v>68</v>
      </c>
      <c r="B25" s="12">
        <v>123.3</v>
      </c>
      <c r="C25" s="12">
        <v>126.7</v>
      </c>
      <c r="D25" s="12">
        <v>130.19999999999999</v>
      </c>
      <c r="E25" s="12">
        <v>134.1</v>
      </c>
      <c r="F25" s="12">
        <v>138</v>
      </c>
      <c r="G25" s="12">
        <v>141.6</v>
      </c>
      <c r="H25" s="12">
        <v>145.1</v>
      </c>
      <c r="I25" s="35">
        <v>20.93</v>
      </c>
      <c r="J25" s="35">
        <v>22.93</v>
      </c>
      <c r="K25" s="35">
        <v>25.23</v>
      </c>
      <c r="L25" s="35">
        <v>28.19</v>
      </c>
      <c r="M25" s="35">
        <v>31.63</v>
      </c>
      <c r="N25" s="35">
        <v>35.26</v>
      </c>
      <c r="O25" s="35">
        <v>39.409999999999997</v>
      </c>
      <c r="P25" s="25">
        <v>13.5</v>
      </c>
      <c r="Q25" s="12">
        <v>14.8</v>
      </c>
      <c r="R25" s="12">
        <v>15.2</v>
      </c>
      <c r="S25" s="12">
        <v>15.8</v>
      </c>
      <c r="T25" s="12">
        <v>16.2</v>
      </c>
      <c r="U25" s="12">
        <v>18.5</v>
      </c>
      <c r="V25" s="12">
        <v>21.4</v>
      </c>
      <c r="W25" s="12">
        <v>22.3</v>
      </c>
      <c r="X25" s="12">
        <v>23.7</v>
      </c>
      <c r="Y25" s="12">
        <v>24.7</v>
      </c>
    </row>
    <row r="26" spans="1:25" ht="12" thickBot="1" x14ac:dyDescent="0.25">
      <c r="A26" s="25" t="s">
        <v>69</v>
      </c>
      <c r="B26" s="12">
        <v>125.7</v>
      </c>
      <c r="C26" s="12">
        <v>129.30000000000001</v>
      </c>
      <c r="D26" s="12">
        <v>132.9</v>
      </c>
      <c r="E26" s="12">
        <v>137</v>
      </c>
      <c r="F26" s="12">
        <v>141.1</v>
      </c>
      <c r="G26" s="12">
        <v>144.80000000000001</v>
      </c>
      <c r="H26" s="12">
        <v>148.5</v>
      </c>
      <c r="I26" s="35">
        <v>21.89</v>
      </c>
      <c r="J26" s="35">
        <v>24.08</v>
      </c>
      <c r="K26" s="35">
        <v>26.61</v>
      </c>
      <c r="L26" s="35">
        <v>29.87</v>
      </c>
      <c r="M26" s="35">
        <v>33.72</v>
      </c>
      <c r="N26" s="35">
        <v>37.79</v>
      </c>
      <c r="O26" s="35">
        <v>42.51</v>
      </c>
      <c r="P26" s="25">
        <v>14</v>
      </c>
      <c r="Q26" s="12">
        <v>15</v>
      </c>
      <c r="R26" s="12">
        <v>15.4</v>
      </c>
      <c r="S26" s="12">
        <v>16</v>
      </c>
      <c r="T26" s="12">
        <v>16.5</v>
      </c>
      <c r="U26" s="12">
        <v>18.8</v>
      </c>
      <c r="V26" s="12">
        <v>21.8</v>
      </c>
      <c r="W26" s="12">
        <v>22.7</v>
      </c>
      <c r="X26" s="12">
        <v>24.1</v>
      </c>
      <c r="Y26" s="12">
        <v>25.1</v>
      </c>
    </row>
    <row r="27" spans="1:25" ht="12" thickBot="1" x14ac:dyDescent="0.25">
      <c r="A27" s="25" t="s">
        <v>70</v>
      </c>
      <c r="B27" s="12">
        <v>128.30000000000001</v>
      </c>
      <c r="C27" s="12">
        <v>132.1</v>
      </c>
      <c r="D27" s="12">
        <v>135.9</v>
      </c>
      <c r="E27" s="12">
        <v>140.1</v>
      </c>
      <c r="F27" s="12">
        <v>144.4</v>
      </c>
      <c r="G27" s="12">
        <v>148.19999999999999</v>
      </c>
      <c r="H27" s="12">
        <v>152</v>
      </c>
      <c r="I27" s="35">
        <v>22.98</v>
      </c>
      <c r="J27" s="35">
        <v>25.36</v>
      </c>
      <c r="K27" s="35">
        <v>28.15</v>
      </c>
      <c r="L27" s="35">
        <v>31.76</v>
      </c>
      <c r="M27" s="35">
        <v>36.049999999999997</v>
      </c>
      <c r="N27" s="35">
        <v>40.630000000000003</v>
      </c>
      <c r="O27" s="35">
        <v>45.97</v>
      </c>
      <c r="P27" s="25">
        <v>14.5</v>
      </c>
      <c r="Q27" s="12">
        <v>15.2</v>
      </c>
      <c r="R27" s="12">
        <v>15.6</v>
      </c>
      <c r="S27" s="12">
        <v>16.3</v>
      </c>
      <c r="T27" s="12">
        <v>16.7</v>
      </c>
      <c r="U27" s="12">
        <v>19.100000000000001</v>
      </c>
      <c r="V27" s="12">
        <v>22.1</v>
      </c>
      <c r="W27" s="12">
        <v>23</v>
      </c>
      <c r="X27" s="12">
        <v>24.5</v>
      </c>
      <c r="Y27" s="12">
        <v>25.5</v>
      </c>
    </row>
    <row r="28" spans="1:25" ht="12" thickBot="1" x14ac:dyDescent="0.25">
      <c r="A28" s="25" t="s">
        <v>71</v>
      </c>
      <c r="B28" s="12">
        <v>131.1</v>
      </c>
      <c r="C28" s="12">
        <v>135</v>
      </c>
      <c r="D28" s="12">
        <v>138.9</v>
      </c>
      <c r="E28" s="12">
        <v>143.30000000000001</v>
      </c>
      <c r="F28" s="12">
        <v>147.69999999999999</v>
      </c>
      <c r="G28" s="12">
        <v>151.6</v>
      </c>
      <c r="H28" s="12">
        <v>155.6</v>
      </c>
      <c r="I28" s="35">
        <v>24.22</v>
      </c>
      <c r="J28" s="35">
        <v>26.8</v>
      </c>
      <c r="K28" s="35">
        <v>29.84</v>
      </c>
      <c r="L28" s="35">
        <v>33.799999999999997</v>
      </c>
      <c r="M28" s="35">
        <v>38.53</v>
      </c>
      <c r="N28" s="35">
        <v>43.61</v>
      </c>
      <c r="O28" s="35">
        <v>49.59</v>
      </c>
      <c r="P28" s="25">
        <v>15</v>
      </c>
      <c r="Q28" s="12">
        <v>15.4</v>
      </c>
      <c r="R28" s="12">
        <v>15.8</v>
      </c>
      <c r="S28" s="12">
        <v>16.5</v>
      </c>
      <c r="T28" s="12">
        <v>17</v>
      </c>
      <c r="U28" s="12">
        <v>19.3</v>
      </c>
      <c r="V28" s="12">
        <v>22.4</v>
      </c>
      <c r="W28" s="12">
        <v>23.3</v>
      </c>
      <c r="X28" s="12">
        <v>24.8</v>
      </c>
      <c r="Y28" s="12">
        <v>25.9</v>
      </c>
    </row>
    <row r="29" spans="1:25" ht="12" thickBot="1" x14ac:dyDescent="0.25">
      <c r="A29" s="25" t="s">
        <v>72</v>
      </c>
      <c r="B29" s="12">
        <v>134.19999999999999</v>
      </c>
      <c r="C29" s="12">
        <v>138.19999999999999</v>
      </c>
      <c r="D29" s="12">
        <v>142.19999999999999</v>
      </c>
      <c r="E29" s="12">
        <v>146.6</v>
      </c>
      <c r="F29" s="12">
        <v>151.1</v>
      </c>
      <c r="G29" s="12">
        <v>155.19999999999999</v>
      </c>
      <c r="H29" s="12">
        <v>159.19999999999999</v>
      </c>
      <c r="I29" s="35">
        <v>25.74</v>
      </c>
      <c r="J29" s="35">
        <v>28.53</v>
      </c>
      <c r="K29" s="35">
        <v>31.81</v>
      </c>
      <c r="L29" s="35">
        <v>36.1</v>
      </c>
      <c r="M29" s="35">
        <v>41.24</v>
      </c>
      <c r="N29" s="35">
        <v>46.78</v>
      </c>
      <c r="O29" s="35">
        <v>53.33</v>
      </c>
      <c r="P29" s="25">
        <v>15.5</v>
      </c>
      <c r="Q29" s="12">
        <v>15.6</v>
      </c>
      <c r="R29" s="12">
        <v>16</v>
      </c>
      <c r="S29" s="12">
        <v>16.7</v>
      </c>
      <c r="T29" s="12">
        <v>17.2</v>
      </c>
      <c r="U29" s="12">
        <v>19.5</v>
      </c>
      <c r="V29" s="12">
        <v>22.7</v>
      </c>
      <c r="W29" s="12">
        <v>23.6</v>
      </c>
      <c r="X29" s="12">
        <v>25.1</v>
      </c>
      <c r="Y29" s="12">
        <v>26.1</v>
      </c>
    </row>
    <row r="30" spans="1:25" ht="12" thickBot="1" x14ac:dyDescent="0.25">
      <c r="A30" s="25" t="s">
        <v>73</v>
      </c>
      <c r="B30" s="12">
        <v>137.19999999999999</v>
      </c>
      <c r="C30" s="12">
        <v>141.19999999999999</v>
      </c>
      <c r="D30" s="12">
        <v>145.19999999999999</v>
      </c>
      <c r="E30" s="12">
        <v>149.69999999999999</v>
      </c>
      <c r="F30" s="12">
        <v>154.1</v>
      </c>
      <c r="G30" s="12">
        <v>158.19999999999999</v>
      </c>
      <c r="H30" s="12">
        <v>162.1</v>
      </c>
      <c r="I30" s="35">
        <v>27.43</v>
      </c>
      <c r="J30" s="35">
        <v>30.39</v>
      </c>
      <c r="K30" s="35">
        <v>33.86</v>
      </c>
      <c r="L30" s="35">
        <v>38.4</v>
      </c>
      <c r="M30" s="35">
        <v>43.85</v>
      </c>
      <c r="N30" s="35">
        <v>49.73</v>
      </c>
      <c r="O30" s="35">
        <v>56.67</v>
      </c>
      <c r="P30" s="25">
        <v>16</v>
      </c>
      <c r="Q30" s="12">
        <v>15.8</v>
      </c>
      <c r="R30" s="12">
        <v>16.2</v>
      </c>
      <c r="S30" s="12">
        <v>16.8</v>
      </c>
      <c r="T30" s="12">
        <v>17.3</v>
      </c>
      <c r="U30" s="12">
        <v>19.7</v>
      </c>
      <c r="V30" s="12">
        <v>22.9</v>
      </c>
      <c r="W30" s="12">
        <v>23.8</v>
      </c>
      <c r="X30" s="12">
        <v>25.3</v>
      </c>
      <c r="Y30" s="12">
        <v>26.4</v>
      </c>
    </row>
    <row r="31" spans="1:25" ht="12" thickBot="1" x14ac:dyDescent="0.25">
      <c r="A31" s="25" t="s">
        <v>74</v>
      </c>
      <c r="B31" s="12">
        <v>140.19999999999999</v>
      </c>
      <c r="C31" s="12">
        <v>144.1</v>
      </c>
      <c r="D31" s="12">
        <v>148</v>
      </c>
      <c r="E31" s="12">
        <v>152.4</v>
      </c>
      <c r="F31" s="12">
        <v>156.69999999999999</v>
      </c>
      <c r="G31" s="12">
        <v>160.69999999999999</v>
      </c>
      <c r="H31" s="12">
        <v>164.5</v>
      </c>
      <c r="I31" s="35">
        <v>29.33</v>
      </c>
      <c r="J31" s="35">
        <v>32.42</v>
      </c>
      <c r="K31" s="35">
        <v>36.04</v>
      </c>
      <c r="L31" s="35">
        <v>40.770000000000003</v>
      </c>
      <c r="M31" s="35">
        <v>46.42</v>
      </c>
      <c r="N31" s="35">
        <v>52.49</v>
      </c>
      <c r="O31" s="35">
        <v>59.64</v>
      </c>
      <c r="P31" s="25">
        <v>16.5</v>
      </c>
      <c r="Q31" s="12">
        <v>15.9</v>
      </c>
      <c r="R31" s="12">
        <v>16.3</v>
      </c>
      <c r="S31" s="12">
        <v>17</v>
      </c>
      <c r="T31" s="12">
        <v>17.5</v>
      </c>
      <c r="U31" s="12">
        <v>19.899999999999999</v>
      </c>
      <c r="V31" s="12">
        <v>23.1</v>
      </c>
      <c r="W31" s="12">
        <v>24</v>
      </c>
      <c r="X31" s="12">
        <v>25.5</v>
      </c>
      <c r="Y31" s="12">
        <v>26.6</v>
      </c>
    </row>
    <row r="32" spans="1:25" ht="12" thickBot="1" x14ac:dyDescent="0.25">
      <c r="A32" s="25" t="s">
        <v>75</v>
      </c>
      <c r="B32" s="12">
        <v>142.9</v>
      </c>
      <c r="C32" s="12">
        <v>146.6</v>
      </c>
      <c r="D32" s="12">
        <v>150.4</v>
      </c>
      <c r="E32" s="12">
        <v>154.6</v>
      </c>
      <c r="F32" s="12">
        <v>158.80000000000001</v>
      </c>
      <c r="G32" s="12">
        <v>162.6</v>
      </c>
      <c r="H32" s="12">
        <v>166.3</v>
      </c>
      <c r="I32" s="35">
        <v>31.22</v>
      </c>
      <c r="J32" s="35">
        <v>34.39</v>
      </c>
      <c r="K32" s="35">
        <v>38.090000000000003</v>
      </c>
      <c r="L32" s="35">
        <v>42.89</v>
      </c>
      <c r="M32" s="35">
        <v>48.6</v>
      </c>
      <c r="N32" s="35">
        <v>54.71</v>
      </c>
      <c r="O32" s="35">
        <v>61.86</v>
      </c>
      <c r="P32" s="25">
        <v>17</v>
      </c>
      <c r="Q32" s="12">
        <v>16</v>
      </c>
      <c r="R32" s="12">
        <v>16.399999999999999</v>
      </c>
      <c r="S32" s="12">
        <v>17.100000000000001</v>
      </c>
      <c r="T32" s="12">
        <v>17.600000000000001</v>
      </c>
      <c r="U32" s="12">
        <v>20</v>
      </c>
      <c r="V32" s="12">
        <v>23.3</v>
      </c>
      <c r="W32" s="12">
        <v>24.2</v>
      </c>
      <c r="X32" s="12">
        <v>25.7</v>
      </c>
      <c r="Y32" s="12">
        <v>26.8</v>
      </c>
    </row>
    <row r="33" spans="1:25" ht="12" thickBot="1" x14ac:dyDescent="0.25">
      <c r="A33" s="25" t="s">
        <v>76</v>
      </c>
      <c r="B33" s="12">
        <v>145</v>
      </c>
      <c r="C33" s="12">
        <v>148.6</v>
      </c>
      <c r="D33" s="12">
        <v>152.19999999999999</v>
      </c>
      <c r="E33" s="12">
        <v>156.30000000000001</v>
      </c>
      <c r="F33" s="12">
        <v>160.30000000000001</v>
      </c>
      <c r="G33" s="12">
        <v>164</v>
      </c>
      <c r="H33" s="12">
        <v>167.6</v>
      </c>
      <c r="I33" s="35">
        <v>33.090000000000003</v>
      </c>
      <c r="J33" s="35">
        <v>36.29</v>
      </c>
      <c r="K33" s="35">
        <v>40</v>
      </c>
      <c r="L33" s="35">
        <v>44.79</v>
      </c>
      <c r="M33" s="35">
        <v>50.45</v>
      </c>
      <c r="N33" s="35">
        <v>56.46</v>
      </c>
      <c r="O33" s="35">
        <v>63.45</v>
      </c>
      <c r="P33" s="25">
        <v>17.5</v>
      </c>
      <c r="Q33" s="12">
        <v>16.2</v>
      </c>
      <c r="R33" s="12">
        <v>16.600000000000001</v>
      </c>
      <c r="S33" s="12">
        <v>17.2</v>
      </c>
      <c r="T33" s="12">
        <v>17.7</v>
      </c>
      <c r="U33" s="12">
        <v>20.2</v>
      </c>
      <c r="V33" s="12">
        <v>23.4</v>
      </c>
      <c r="W33" s="12">
        <v>24.4</v>
      </c>
      <c r="X33" s="12">
        <v>25.9</v>
      </c>
      <c r="Y33" s="12">
        <v>27</v>
      </c>
    </row>
    <row r="34" spans="1:25" ht="12" thickBot="1" x14ac:dyDescent="0.25">
      <c r="A34" s="25" t="s">
        <v>77</v>
      </c>
      <c r="B34" s="12">
        <v>146.69999999999999</v>
      </c>
      <c r="C34" s="12">
        <v>150.19999999999999</v>
      </c>
      <c r="D34" s="12">
        <v>153.69999999999999</v>
      </c>
      <c r="E34" s="12">
        <v>157.6</v>
      </c>
      <c r="F34" s="12">
        <v>161.6</v>
      </c>
      <c r="G34" s="12">
        <v>165.1</v>
      </c>
      <c r="H34" s="12">
        <v>168.6</v>
      </c>
      <c r="I34" s="35">
        <v>34.82</v>
      </c>
      <c r="J34" s="35">
        <v>38.01</v>
      </c>
      <c r="K34" s="35">
        <v>41.69</v>
      </c>
      <c r="L34" s="35">
        <v>46.42</v>
      </c>
      <c r="M34" s="35">
        <v>51.97</v>
      </c>
      <c r="N34" s="35">
        <v>57.81</v>
      </c>
      <c r="O34" s="35">
        <v>64.55</v>
      </c>
      <c r="P34" s="36">
        <v>18</v>
      </c>
      <c r="Q34" s="13">
        <v>16.3</v>
      </c>
      <c r="R34" s="13">
        <v>16.7</v>
      </c>
      <c r="S34" s="13">
        <v>17.399999999999999</v>
      </c>
      <c r="T34" s="13">
        <v>17.899999999999999</v>
      </c>
      <c r="U34" s="13">
        <v>20.3</v>
      </c>
      <c r="V34" s="13">
        <v>23.6</v>
      </c>
      <c r="W34" s="13">
        <v>24.5</v>
      </c>
      <c r="X34" s="13">
        <v>26.1</v>
      </c>
      <c r="Y34" s="13">
        <v>27.2</v>
      </c>
    </row>
    <row r="35" spans="1:25" ht="12" thickBot="1" x14ac:dyDescent="0.25">
      <c r="A35" s="25" t="s">
        <v>78</v>
      </c>
      <c r="B35" s="12">
        <v>147.9</v>
      </c>
      <c r="C35" s="12">
        <v>151.30000000000001</v>
      </c>
      <c r="D35" s="12">
        <v>154.80000000000001</v>
      </c>
      <c r="E35" s="12">
        <v>158.6</v>
      </c>
      <c r="F35" s="12">
        <v>162.4</v>
      </c>
      <c r="G35" s="12">
        <v>165.9</v>
      </c>
      <c r="H35" s="12">
        <v>169.3</v>
      </c>
      <c r="I35" s="35">
        <v>36.380000000000003</v>
      </c>
      <c r="J35" s="35">
        <v>39.549999999999997</v>
      </c>
      <c r="K35" s="35">
        <v>43.19</v>
      </c>
      <c r="L35" s="35">
        <v>47.83</v>
      </c>
      <c r="M35" s="35">
        <v>53.23</v>
      </c>
      <c r="N35" s="35">
        <v>58.88</v>
      </c>
      <c r="O35" s="35">
        <v>65.36</v>
      </c>
    </row>
    <row r="36" spans="1:25" ht="12" thickBot="1" x14ac:dyDescent="0.25">
      <c r="A36" s="25" t="s">
        <v>79</v>
      </c>
      <c r="B36" s="12">
        <v>148.9</v>
      </c>
      <c r="C36" s="12">
        <v>152.19999999999999</v>
      </c>
      <c r="D36" s="12">
        <v>155.6</v>
      </c>
      <c r="E36" s="12">
        <v>159.4</v>
      </c>
      <c r="F36" s="12">
        <v>163.1</v>
      </c>
      <c r="G36" s="12">
        <v>166.5</v>
      </c>
      <c r="H36" s="12">
        <v>169.8</v>
      </c>
      <c r="I36" s="35">
        <v>37.71</v>
      </c>
      <c r="J36" s="35">
        <v>40.840000000000003</v>
      </c>
      <c r="K36" s="35">
        <v>44.43</v>
      </c>
      <c r="L36" s="35">
        <v>48.97</v>
      </c>
      <c r="M36" s="35">
        <v>54.23</v>
      </c>
      <c r="N36" s="35">
        <v>59.7</v>
      </c>
      <c r="O36" s="35">
        <v>65.930000000000007</v>
      </c>
    </row>
    <row r="37" spans="1:25" ht="12" thickBot="1" x14ac:dyDescent="0.25">
      <c r="A37" s="25" t="s">
        <v>80</v>
      </c>
      <c r="B37" s="12">
        <v>149.5</v>
      </c>
      <c r="C37" s="12">
        <v>152.80000000000001</v>
      </c>
      <c r="D37" s="12">
        <v>156.1</v>
      </c>
      <c r="E37" s="12">
        <v>159.80000000000001</v>
      </c>
      <c r="F37" s="12">
        <v>163.5</v>
      </c>
      <c r="G37" s="12">
        <v>166.8</v>
      </c>
      <c r="H37" s="12">
        <v>170.1</v>
      </c>
      <c r="I37" s="35">
        <v>38.729999999999997</v>
      </c>
      <c r="J37" s="35">
        <v>41.83</v>
      </c>
      <c r="K37" s="35">
        <v>45.36</v>
      </c>
      <c r="L37" s="35">
        <v>49.82</v>
      </c>
      <c r="M37" s="35">
        <v>54.96</v>
      </c>
      <c r="N37" s="35">
        <v>60.28</v>
      </c>
      <c r="O37" s="35">
        <v>66.3</v>
      </c>
    </row>
    <row r="38" spans="1:25" ht="12" thickBot="1" x14ac:dyDescent="0.25">
      <c r="A38" s="25" t="s">
        <v>81</v>
      </c>
      <c r="B38" s="12">
        <v>149.9</v>
      </c>
      <c r="C38" s="12">
        <v>153.1</v>
      </c>
      <c r="D38" s="12">
        <v>156.5</v>
      </c>
      <c r="E38" s="12">
        <v>160.1</v>
      </c>
      <c r="F38" s="12">
        <v>163.80000000000001</v>
      </c>
      <c r="G38" s="12">
        <v>167.1</v>
      </c>
      <c r="H38" s="12">
        <v>170.3</v>
      </c>
      <c r="I38" s="35">
        <v>39.51</v>
      </c>
      <c r="J38" s="35">
        <v>42.58</v>
      </c>
      <c r="K38" s="35">
        <v>46.06</v>
      </c>
      <c r="L38" s="35">
        <v>50.45</v>
      </c>
      <c r="M38" s="35">
        <v>55.49</v>
      </c>
      <c r="N38" s="35">
        <v>60.69</v>
      </c>
      <c r="O38" s="35">
        <v>66.55</v>
      </c>
    </row>
    <row r="39" spans="1:25" ht="12" thickBot="1" x14ac:dyDescent="0.25">
      <c r="A39" s="25" t="s">
        <v>82</v>
      </c>
      <c r="B39" s="12">
        <v>149.80000000000001</v>
      </c>
      <c r="C39" s="12">
        <v>153.1</v>
      </c>
      <c r="D39" s="12">
        <v>156.4</v>
      </c>
      <c r="E39" s="12">
        <v>160.1</v>
      </c>
      <c r="F39" s="12">
        <v>163.80000000000001</v>
      </c>
      <c r="G39" s="12">
        <v>167.1</v>
      </c>
      <c r="H39" s="12">
        <v>170.3</v>
      </c>
      <c r="I39" s="35">
        <v>39.96</v>
      </c>
      <c r="J39" s="35">
        <v>43.01</v>
      </c>
      <c r="K39" s="35">
        <v>46.47</v>
      </c>
      <c r="L39" s="35">
        <v>50.81</v>
      </c>
      <c r="M39" s="35">
        <v>55.79</v>
      </c>
      <c r="N39" s="35">
        <v>60.91</v>
      </c>
      <c r="O39" s="35">
        <v>66.69</v>
      </c>
    </row>
    <row r="40" spans="1:25" ht="12" thickBot="1" x14ac:dyDescent="0.25">
      <c r="A40" s="25" t="s">
        <v>83</v>
      </c>
      <c r="B40" s="12">
        <v>149.9</v>
      </c>
      <c r="C40" s="12">
        <v>153.19999999999999</v>
      </c>
      <c r="D40" s="12">
        <v>156.5</v>
      </c>
      <c r="E40" s="12">
        <v>160.19999999999999</v>
      </c>
      <c r="F40" s="12">
        <v>163.80000000000001</v>
      </c>
      <c r="G40" s="12">
        <v>167.1</v>
      </c>
      <c r="H40" s="12">
        <v>170.4</v>
      </c>
      <c r="I40" s="35">
        <v>40.29</v>
      </c>
      <c r="J40" s="35">
        <v>43.32</v>
      </c>
      <c r="K40" s="35">
        <v>46.76</v>
      </c>
      <c r="L40" s="35">
        <v>51.07</v>
      </c>
      <c r="M40" s="35">
        <v>56.01</v>
      </c>
      <c r="N40" s="35">
        <v>61.07</v>
      </c>
      <c r="O40" s="35">
        <v>66.78</v>
      </c>
    </row>
    <row r="41" spans="1:25" ht="12" thickBot="1" x14ac:dyDescent="0.25">
      <c r="A41" s="25" t="s">
        <v>84</v>
      </c>
      <c r="B41" s="12">
        <v>150.1</v>
      </c>
      <c r="C41" s="12">
        <v>153.4</v>
      </c>
      <c r="D41" s="12">
        <v>156.69999999999999</v>
      </c>
      <c r="E41" s="12">
        <v>160.30000000000001</v>
      </c>
      <c r="F41" s="12">
        <v>164</v>
      </c>
      <c r="G41" s="12">
        <v>167.3</v>
      </c>
      <c r="H41" s="12">
        <v>170.5</v>
      </c>
      <c r="I41" s="35">
        <v>40.44</v>
      </c>
      <c r="J41" s="35">
        <v>43.47</v>
      </c>
      <c r="K41" s="35">
        <v>46.9</v>
      </c>
      <c r="L41" s="35">
        <v>51.2</v>
      </c>
      <c r="M41" s="35">
        <v>56.11</v>
      </c>
      <c r="N41" s="35">
        <v>61.15</v>
      </c>
      <c r="O41" s="35">
        <v>66.819999999999993</v>
      </c>
    </row>
    <row r="42" spans="1:25" ht="12" thickBot="1" x14ac:dyDescent="0.25">
      <c r="A42" s="36" t="s">
        <v>85</v>
      </c>
      <c r="B42" s="13">
        <v>150.4</v>
      </c>
      <c r="C42" s="13">
        <v>153.69999999999999</v>
      </c>
      <c r="D42" s="13">
        <v>157</v>
      </c>
      <c r="E42" s="13">
        <v>160.6</v>
      </c>
      <c r="F42" s="13">
        <v>164.2</v>
      </c>
      <c r="G42" s="13">
        <v>167.5</v>
      </c>
      <c r="H42" s="13">
        <v>170.7</v>
      </c>
      <c r="I42" s="37">
        <v>40.71</v>
      </c>
      <c r="J42" s="37">
        <v>43.73</v>
      </c>
      <c r="K42" s="37">
        <v>47.14</v>
      </c>
      <c r="L42" s="37">
        <v>51.41</v>
      </c>
      <c r="M42" s="37">
        <v>56.28</v>
      </c>
      <c r="N42" s="37">
        <v>61.28</v>
      </c>
      <c r="O42" s="37">
        <v>66.89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0C6C-315F-48E7-9A27-5649CC034D46}">
  <sheetPr>
    <tabColor theme="4" tint="0.39997558519241921"/>
  </sheetPr>
  <dimension ref="A1:AG13"/>
  <sheetViews>
    <sheetView topLeftCell="A7" zoomScaleNormal="100" workbookViewId="0">
      <selection activeCell="A2" sqref="A2:A13"/>
    </sheetView>
  </sheetViews>
  <sheetFormatPr defaultRowHeight="13.8" x14ac:dyDescent="0.25"/>
  <cols>
    <col min="1" max="1" width="6.77734375" bestFit="1" customWidth="1"/>
    <col min="2" max="2" width="4.44140625" bestFit="1" customWidth="1"/>
    <col min="3" max="3" width="4" bestFit="1" customWidth="1"/>
    <col min="4" max="7" width="4.109375" bestFit="1" customWidth="1"/>
    <col min="8" max="16" width="4.77734375" bestFit="1" customWidth="1"/>
    <col min="17" max="18" width="4.6640625" bestFit="1" customWidth="1"/>
    <col min="19" max="19" width="10.21875" bestFit="1" customWidth="1"/>
    <col min="20" max="20" width="4.77734375" bestFit="1" customWidth="1"/>
    <col min="21" max="21" width="8.6640625" customWidth="1"/>
    <col min="22" max="23" width="8" bestFit="1" customWidth="1"/>
    <col min="24" max="26" width="9.6640625" bestFit="1" customWidth="1"/>
    <col min="27" max="27" width="7.5546875" bestFit="1" customWidth="1"/>
    <col min="28" max="28" width="9.88671875" bestFit="1" customWidth="1"/>
    <col min="29" max="29" width="8.6640625" bestFit="1" customWidth="1"/>
    <col min="30" max="30" width="21.33203125" bestFit="1" customWidth="1"/>
    <col min="31" max="31" width="9.109375" bestFit="1" customWidth="1"/>
  </cols>
  <sheetData>
    <row r="1" spans="1:33" ht="21.6" x14ac:dyDescent="0.25">
      <c r="A1" s="15" t="s">
        <v>0</v>
      </c>
      <c r="B1" s="16" t="s">
        <v>45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1</v>
      </c>
      <c r="K1" s="15" t="s">
        <v>2</v>
      </c>
      <c r="L1" s="15" t="s">
        <v>3</v>
      </c>
      <c r="M1" s="15" t="s">
        <v>4</v>
      </c>
      <c r="N1" s="15" t="s">
        <v>5</v>
      </c>
      <c r="O1" s="15" t="s">
        <v>6</v>
      </c>
      <c r="P1" s="15" t="s">
        <v>7</v>
      </c>
      <c r="Q1" s="18" t="s">
        <v>19</v>
      </c>
      <c r="R1" s="18" t="s">
        <v>24</v>
      </c>
      <c r="S1" s="19" t="s">
        <v>54</v>
      </c>
      <c r="T1" s="20" t="s">
        <v>28</v>
      </c>
      <c r="U1" s="20" t="s">
        <v>55</v>
      </c>
      <c r="V1" s="20" t="s">
        <v>26</v>
      </c>
      <c r="W1" s="20" t="s">
        <v>27</v>
      </c>
      <c r="X1" s="21" t="s">
        <v>20</v>
      </c>
      <c r="Y1" s="21" t="s">
        <v>21</v>
      </c>
      <c r="Z1" s="21" t="s">
        <v>22</v>
      </c>
      <c r="AA1" s="31" t="s">
        <v>89</v>
      </c>
      <c r="AB1" s="28" t="s">
        <v>88</v>
      </c>
      <c r="AC1" s="28" t="s">
        <v>87</v>
      </c>
      <c r="AD1" s="29" t="s">
        <v>86</v>
      </c>
    </row>
    <row r="2" spans="1:33" x14ac:dyDescent="0.25">
      <c r="A2" s="17" t="s">
        <v>29</v>
      </c>
      <c r="B2" s="14">
        <v>0</v>
      </c>
      <c r="C2" s="14">
        <v>47.1</v>
      </c>
      <c r="D2" s="14">
        <v>48.1</v>
      </c>
      <c r="E2" s="14">
        <v>49.2</v>
      </c>
      <c r="F2" s="14">
        <v>50.4</v>
      </c>
      <c r="G2" s="14">
        <v>51.6</v>
      </c>
      <c r="H2" s="14">
        <v>52.7</v>
      </c>
      <c r="I2" s="14">
        <v>53.8</v>
      </c>
      <c r="J2" s="14">
        <v>2.62</v>
      </c>
      <c r="K2" s="14">
        <v>2.83</v>
      </c>
      <c r="L2" s="14">
        <v>3.06</v>
      </c>
      <c r="M2" s="14">
        <v>3.32</v>
      </c>
      <c r="N2" s="14">
        <v>3.59</v>
      </c>
      <c r="O2" s="14">
        <v>3.85</v>
      </c>
      <c r="P2" s="14">
        <v>4.12</v>
      </c>
      <c r="Q2" s="11" t="s">
        <v>23</v>
      </c>
      <c r="R2" s="11" t="s">
        <v>25</v>
      </c>
      <c r="S2" s="24" t="s">
        <v>48</v>
      </c>
      <c r="T2" s="11" t="s">
        <v>42</v>
      </c>
      <c r="U2" s="11">
        <v>1006110</v>
      </c>
      <c r="V2" s="11">
        <v>66</v>
      </c>
      <c r="W2" s="11">
        <v>8</v>
      </c>
      <c r="X2" s="22">
        <f t="shared" ref="X2:X7" si="0">IFERROR(VLOOKUP(T2,A:B, 2, 0), "")</f>
        <v>6</v>
      </c>
      <c r="Y2" s="22">
        <f t="shared" ref="Y2:Z13" si="1">IF(ISBLANK(V2),NA(),V2)</f>
        <v>66</v>
      </c>
      <c r="Z2" s="22">
        <f t="shared" si="1"/>
        <v>8</v>
      </c>
      <c r="AA2" s="23">
        <f>W2/POWER(V2/100,2)</f>
        <v>18.365472910927455</v>
      </c>
      <c r="AB2" s="22" t="str">
        <f>IF(IFERROR(VALUE(LEFT(T2,LEN(T2)-1))/IF(ISNUMBER(SEARCH("月",T2)),12,1),0)&gt;=2,IFERROR(VALUE(LEFT(T2,LEN(T2)-1))/IF(ISNUMBER(SEARCH("月",T2)),12,1),""),"")</f>
        <v/>
      </c>
      <c r="AC2" s="30" t="str">
        <f>IF(AB2&lt;&gt;"",ROUND(AA2,1),"")</f>
        <v/>
      </c>
      <c r="AD2" s="58" t="s">
        <v>109</v>
      </c>
    </row>
    <row r="3" spans="1:33" x14ac:dyDescent="0.25">
      <c r="A3" s="17" t="s">
        <v>44</v>
      </c>
      <c r="B3" s="14">
        <v>2</v>
      </c>
      <c r="C3" s="14">
        <v>54.6</v>
      </c>
      <c r="D3" s="14">
        <v>55.9</v>
      </c>
      <c r="E3" s="14">
        <v>57.2</v>
      </c>
      <c r="F3" s="14">
        <v>58.7</v>
      </c>
      <c r="G3" s="14">
        <v>60.3</v>
      </c>
      <c r="H3" s="14">
        <v>61.7</v>
      </c>
      <c r="I3" s="14">
        <v>63</v>
      </c>
      <c r="J3" s="14">
        <v>4.53</v>
      </c>
      <c r="K3" s="14">
        <v>4.88</v>
      </c>
      <c r="L3" s="14">
        <v>5.25</v>
      </c>
      <c r="M3" s="14">
        <v>5.68</v>
      </c>
      <c r="N3" s="14">
        <v>6.15</v>
      </c>
      <c r="O3" s="14">
        <v>6.59</v>
      </c>
      <c r="P3" s="14">
        <v>7.05</v>
      </c>
      <c r="Q3" s="11" t="s">
        <v>23</v>
      </c>
      <c r="R3" s="11" t="s">
        <v>46</v>
      </c>
      <c r="S3" s="24" t="s">
        <v>49</v>
      </c>
      <c r="T3" s="11" t="s">
        <v>39</v>
      </c>
      <c r="U3" s="11">
        <v>1006110</v>
      </c>
      <c r="V3" s="11">
        <v>78</v>
      </c>
      <c r="W3" s="11">
        <v>10</v>
      </c>
      <c r="X3" s="22">
        <f t="shared" si="0"/>
        <v>12</v>
      </c>
      <c r="Y3" s="22">
        <f t="shared" si="1"/>
        <v>78</v>
      </c>
      <c r="Z3" s="22">
        <f t="shared" si="1"/>
        <v>10</v>
      </c>
      <c r="AA3" s="23">
        <f t="shared" ref="AA3:AA13" si="2">W3/POWER(V3/100,2)</f>
        <v>16.436554898093359</v>
      </c>
      <c r="AB3" s="22" t="str">
        <f t="shared" ref="AB3:AB13" si="3">IF(IFERROR(VALUE(LEFT(T3,LEN(T3)-1))/IF(ISNUMBER(SEARCH("月",T3)),12,1),0)&gt;=2,IFERROR(VALUE(LEFT(T3,LEN(T3)-1))/IF(ISNUMBER(SEARCH("月",T3)),12,1),""),"")</f>
        <v/>
      </c>
      <c r="AC3" s="30" t="str">
        <f t="shared" ref="AC3:AC13" si="4">IF(AB3&lt;&gt;"",ROUND(AA3,1),"")</f>
        <v/>
      </c>
      <c r="AD3" s="59"/>
    </row>
    <row r="4" spans="1:33" x14ac:dyDescent="0.25">
      <c r="A4" s="17" t="s">
        <v>43</v>
      </c>
      <c r="B4" s="14">
        <v>4</v>
      </c>
      <c r="C4" s="14">
        <v>60.3</v>
      </c>
      <c r="D4" s="14">
        <v>61.7</v>
      </c>
      <c r="E4" s="14">
        <v>63</v>
      </c>
      <c r="F4" s="14">
        <v>64.599999999999994</v>
      </c>
      <c r="G4" s="14">
        <v>66.2</v>
      </c>
      <c r="H4" s="14">
        <v>67.599999999999994</v>
      </c>
      <c r="I4" s="14">
        <v>69</v>
      </c>
      <c r="J4" s="14">
        <v>5.99</v>
      </c>
      <c r="K4" s="14">
        <v>6.43</v>
      </c>
      <c r="L4" s="14">
        <v>6.9</v>
      </c>
      <c r="M4" s="14">
        <v>7.45</v>
      </c>
      <c r="N4" s="14">
        <v>8.0399999999999991</v>
      </c>
      <c r="O4" s="14">
        <v>8.61</v>
      </c>
      <c r="P4" s="14">
        <v>9.1999999999999993</v>
      </c>
      <c r="Q4" s="11" t="s">
        <v>23</v>
      </c>
      <c r="R4" s="11" t="s">
        <v>46</v>
      </c>
      <c r="S4" s="24" t="s">
        <v>50</v>
      </c>
      <c r="T4" s="11" t="s">
        <v>36</v>
      </c>
      <c r="U4" s="11"/>
      <c r="V4" s="11">
        <v>82</v>
      </c>
      <c r="W4" s="11">
        <v>12</v>
      </c>
      <c r="X4" s="22">
        <f t="shared" si="0"/>
        <v>18</v>
      </c>
      <c r="Y4" s="22">
        <f t="shared" si="1"/>
        <v>82</v>
      </c>
      <c r="Z4" s="22">
        <f t="shared" si="1"/>
        <v>12</v>
      </c>
      <c r="AA4" s="23">
        <f t="shared" si="2"/>
        <v>17.846519928613922</v>
      </c>
      <c r="AB4" s="22" t="str">
        <f t="shared" si="3"/>
        <v/>
      </c>
      <c r="AC4" s="30" t="str">
        <f t="shared" si="4"/>
        <v/>
      </c>
      <c r="AD4" s="59"/>
    </row>
    <row r="5" spans="1:33" ht="13.2" customHeight="1" x14ac:dyDescent="0.25">
      <c r="A5" s="17" t="s">
        <v>42</v>
      </c>
      <c r="B5" s="14">
        <v>6</v>
      </c>
      <c r="C5" s="14">
        <v>64</v>
      </c>
      <c r="D5" s="14">
        <v>65.400000000000006</v>
      </c>
      <c r="E5" s="14">
        <v>66.8</v>
      </c>
      <c r="F5" s="14">
        <v>68.400000000000006</v>
      </c>
      <c r="G5" s="14">
        <v>70</v>
      </c>
      <c r="H5" s="14">
        <v>71.5</v>
      </c>
      <c r="I5" s="14">
        <v>73</v>
      </c>
      <c r="J5" s="14">
        <v>6.8</v>
      </c>
      <c r="K5" s="14">
        <v>7.28</v>
      </c>
      <c r="L5" s="14">
        <v>7.8</v>
      </c>
      <c r="M5" s="14">
        <v>8.41</v>
      </c>
      <c r="N5" s="14">
        <v>9.07</v>
      </c>
      <c r="O5" s="14">
        <v>9.6999999999999993</v>
      </c>
      <c r="P5" s="14">
        <v>10.37</v>
      </c>
      <c r="Q5" s="11" t="s">
        <v>23</v>
      </c>
      <c r="R5" s="11" t="s">
        <v>46</v>
      </c>
      <c r="S5" s="24" t="s">
        <v>51</v>
      </c>
      <c r="T5" s="11" t="s">
        <v>33</v>
      </c>
      <c r="U5" s="11"/>
      <c r="V5" s="11">
        <v>92</v>
      </c>
      <c r="W5" s="11">
        <v>14</v>
      </c>
      <c r="X5" s="22">
        <f t="shared" si="0"/>
        <v>24</v>
      </c>
      <c r="Y5" s="22">
        <f t="shared" si="1"/>
        <v>92</v>
      </c>
      <c r="Z5" s="22">
        <f t="shared" si="1"/>
        <v>14</v>
      </c>
      <c r="AA5" s="23">
        <f t="shared" si="2"/>
        <v>16.540642722117202</v>
      </c>
      <c r="AB5" s="22">
        <f t="shared" si="3"/>
        <v>2</v>
      </c>
      <c r="AC5" s="30">
        <f t="shared" si="4"/>
        <v>16.5</v>
      </c>
      <c r="AD5" s="59"/>
    </row>
    <row r="6" spans="1:33" x14ac:dyDescent="0.25">
      <c r="A6" s="17" t="s">
        <v>41</v>
      </c>
      <c r="B6" s="14">
        <v>9</v>
      </c>
      <c r="C6" s="14">
        <v>67.900000000000006</v>
      </c>
      <c r="D6" s="14">
        <v>69.400000000000006</v>
      </c>
      <c r="E6" s="14">
        <v>70.900000000000006</v>
      </c>
      <c r="F6" s="14">
        <v>72.599999999999994</v>
      </c>
      <c r="G6" s="14">
        <v>74.400000000000006</v>
      </c>
      <c r="H6" s="14">
        <v>75.900000000000006</v>
      </c>
      <c r="I6" s="14">
        <v>77.5</v>
      </c>
      <c r="J6" s="14">
        <v>7.56</v>
      </c>
      <c r="K6" s="14">
        <v>8.09</v>
      </c>
      <c r="L6" s="14">
        <v>8.66</v>
      </c>
      <c r="M6" s="14">
        <v>9.33</v>
      </c>
      <c r="N6" s="14">
        <v>10.06</v>
      </c>
      <c r="O6" s="14">
        <v>10.75</v>
      </c>
      <c r="P6" s="14">
        <v>11.49</v>
      </c>
      <c r="Q6" s="11" t="s">
        <v>23</v>
      </c>
      <c r="R6" s="11" t="s">
        <v>46</v>
      </c>
      <c r="S6" s="24" t="s">
        <v>52</v>
      </c>
      <c r="T6" s="11" t="s">
        <v>47</v>
      </c>
      <c r="U6" s="11"/>
      <c r="V6" s="11">
        <v>94</v>
      </c>
      <c r="W6" s="11">
        <v>14.5</v>
      </c>
      <c r="X6" s="22">
        <f t="shared" si="0"/>
        <v>30</v>
      </c>
      <c r="Y6" s="22">
        <f t="shared" si="1"/>
        <v>94</v>
      </c>
      <c r="Z6" s="22">
        <f t="shared" si="1"/>
        <v>14.5</v>
      </c>
      <c r="AA6" s="23">
        <f t="shared" si="2"/>
        <v>16.410140334993212</v>
      </c>
      <c r="AB6" s="22">
        <f t="shared" si="3"/>
        <v>2.5</v>
      </c>
      <c r="AC6" s="30">
        <f t="shared" si="4"/>
        <v>16.399999999999999</v>
      </c>
      <c r="AD6" s="59"/>
    </row>
    <row r="7" spans="1:33" x14ac:dyDescent="0.25">
      <c r="A7" s="17" t="s">
        <v>40</v>
      </c>
      <c r="B7" s="14">
        <v>12</v>
      </c>
      <c r="C7" s="14">
        <v>71.5</v>
      </c>
      <c r="D7" s="14">
        <v>73.099999999999994</v>
      </c>
      <c r="E7" s="14">
        <v>74.7</v>
      </c>
      <c r="F7" s="14">
        <v>76.5</v>
      </c>
      <c r="G7" s="14">
        <v>78.400000000000006</v>
      </c>
      <c r="H7" s="14">
        <v>80.099999999999994</v>
      </c>
      <c r="I7" s="14">
        <v>81.8</v>
      </c>
      <c r="J7" s="14">
        <v>8.16</v>
      </c>
      <c r="K7" s="14">
        <v>8.7200000000000006</v>
      </c>
      <c r="L7" s="14">
        <v>9.33</v>
      </c>
      <c r="M7" s="14">
        <v>10.050000000000001</v>
      </c>
      <c r="N7" s="14">
        <v>10.83</v>
      </c>
      <c r="O7" s="14">
        <v>11.58</v>
      </c>
      <c r="P7" s="14">
        <v>12.37</v>
      </c>
      <c r="Q7" s="11" t="s">
        <v>23</v>
      </c>
      <c r="R7" s="11" t="s">
        <v>46</v>
      </c>
      <c r="S7" s="24" t="s">
        <v>53</v>
      </c>
      <c r="T7" s="11" t="s">
        <v>31</v>
      </c>
      <c r="U7" s="11"/>
      <c r="V7" s="11">
        <v>98</v>
      </c>
      <c r="W7" s="11">
        <v>15</v>
      </c>
      <c r="X7" s="22">
        <f t="shared" si="0"/>
        <v>36</v>
      </c>
      <c r="Y7" s="22">
        <f t="shared" si="1"/>
        <v>98</v>
      </c>
      <c r="Z7" s="22">
        <f t="shared" si="1"/>
        <v>15</v>
      </c>
      <c r="AA7" s="23">
        <f t="shared" si="2"/>
        <v>15.618492294877136</v>
      </c>
      <c r="AB7" s="22">
        <f t="shared" si="3"/>
        <v>3</v>
      </c>
      <c r="AC7" s="30">
        <f t="shared" si="4"/>
        <v>15.6</v>
      </c>
      <c r="AD7" s="59"/>
    </row>
    <row r="8" spans="1:33" x14ac:dyDescent="0.25">
      <c r="A8" s="17" t="s">
        <v>38</v>
      </c>
      <c r="B8" s="14">
        <v>15</v>
      </c>
      <c r="C8" s="14">
        <v>74.400000000000006</v>
      </c>
      <c r="D8" s="14">
        <v>76.099999999999994</v>
      </c>
      <c r="E8" s="14">
        <v>77.8</v>
      </c>
      <c r="F8" s="14">
        <v>79.8</v>
      </c>
      <c r="G8" s="14">
        <v>81.8</v>
      </c>
      <c r="H8" s="14">
        <v>83.6</v>
      </c>
      <c r="I8" s="14">
        <v>85.4</v>
      </c>
      <c r="J8" s="14">
        <v>8.68</v>
      </c>
      <c r="K8" s="14">
        <v>9.27</v>
      </c>
      <c r="L8" s="14">
        <v>9.91</v>
      </c>
      <c r="M8" s="14">
        <v>10.68</v>
      </c>
      <c r="N8" s="14">
        <v>11.51</v>
      </c>
      <c r="O8" s="14">
        <v>12.3</v>
      </c>
      <c r="P8" s="14">
        <v>13.15</v>
      </c>
      <c r="Q8" s="11"/>
      <c r="R8" s="11"/>
      <c r="S8" s="24"/>
      <c r="T8" s="11"/>
      <c r="U8" s="11"/>
      <c r="V8" s="11"/>
      <c r="W8" s="11"/>
      <c r="X8" s="22"/>
      <c r="Y8" s="22" t="e">
        <f t="shared" si="1"/>
        <v>#N/A</v>
      </c>
      <c r="Z8" s="22" t="e">
        <f t="shared" si="1"/>
        <v>#N/A</v>
      </c>
      <c r="AA8" s="23" t="e">
        <f t="shared" si="2"/>
        <v>#DIV/0!</v>
      </c>
      <c r="AB8" s="22" t="str">
        <f t="shared" si="3"/>
        <v/>
      </c>
      <c r="AC8" s="30" t="str">
        <f t="shared" si="4"/>
        <v/>
      </c>
      <c r="AD8" s="59"/>
    </row>
    <row r="9" spans="1:33" x14ac:dyDescent="0.25">
      <c r="A9" s="17" t="s">
        <v>37</v>
      </c>
      <c r="B9" s="14">
        <v>18</v>
      </c>
      <c r="C9" s="14">
        <v>76.900000000000006</v>
      </c>
      <c r="D9" s="14">
        <v>78.7</v>
      </c>
      <c r="E9" s="14">
        <v>80.599999999999994</v>
      </c>
      <c r="F9" s="14">
        <v>82.7</v>
      </c>
      <c r="G9" s="14">
        <v>84.8</v>
      </c>
      <c r="H9" s="14">
        <v>86.7</v>
      </c>
      <c r="I9" s="14">
        <v>88.7</v>
      </c>
      <c r="J9" s="14">
        <v>9.19</v>
      </c>
      <c r="K9" s="14">
        <v>9.81</v>
      </c>
      <c r="L9" s="14">
        <v>10.48</v>
      </c>
      <c r="M9" s="14">
        <v>11.29</v>
      </c>
      <c r="N9" s="14">
        <v>12.16</v>
      </c>
      <c r="O9" s="14">
        <v>13.01</v>
      </c>
      <c r="P9" s="14">
        <v>13.9</v>
      </c>
      <c r="Q9" s="11"/>
      <c r="R9" s="11"/>
      <c r="S9" s="24"/>
      <c r="T9" s="11"/>
      <c r="U9" s="11"/>
      <c r="V9" s="11"/>
      <c r="W9" s="11"/>
      <c r="X9" s="22"/>
      <c r="Y9" s="22" t="e">
        <f t="shared" si="1"/>
        <v>#N/A</v>
      </c>
      <c r="Z9" s="22" t="e">
        <f t="shared" si="1"/>
        <v>#N/A</v>
      </c>
      <c r="AA9" s="23" t="e">
        <f t="shared" si="2"/>
        <v>#DIV/0!</v>
      </c>
      <c r="AB9" s="22" t="str">
        <f t="shared" si="3"/>
        <v/>
      </c>
      <c r="AC9" s="30" t="str">
        <f t="shared" si="4"/>
        <v/>
      </c>
      <c r="AD9" s="59"/>
    </row>
    <row r="10" spans="1:33" x14ac:dyDescent="0.25">
      <c r="A10" s="17" t="s">
        <v>35</v>
      </c>
      <c r="B10" s="14">
        <v>21</v>
      </c>
      <c r="C10" s="14">
        <v>79.5</v>
      </c>
      <c r="D10" s="14">
        <v>81.400000000000006</v>
      </c>
      <c r="E10" s="14">
        <v>83.4</v>
      </c>
      <c r="F10" s="14">
        <v>85.6</v>
      </c>
      <c r="G10" s="14">
        <v>87.9</v>
      </c>
      <c r="H10" s="14">
        <v>90</v>
      </c>
      <c r="I10" s="14">
        <v>92</v>
      </c>
      <c r="J10" s="14">
        <v>9.7100000000000009</v>
      </c>
      <c r="K10" s="14">
        <v>10.37</v>
      </c>
      <c r="L10" s="14">
        <v>11.08</v>
      </c>
      <c r="M10" s="14">
        <v>11.93</v>
      </c>
      <c r="N10" s="14">
        <v>12.86</v>
      </c>
      <c r="O10" s="14">
        <v>13.75</v>
      </c>
      <c r="P10" s="14">
        <v>14.7</v>
      </c>
      <c r="Q10" s="11"/>
      <c r="R10" s="11"/>
      <c r="S10" s="24"/>
      <c r="T10" s="11"/>
      <c r="U10" s="11"/>
      <c r="V10" s="11"/>
      <c r="W10" s="11"/>
      <c r="X10" s="22"/>
      <c r="Y10" s="22" t="e">
        <f t="shared" si="1"/>
        <v>#N/A</v>
      </c>
      <c r="Z10" s="22" t="e">
        <f t="shared" si="1"/>
        <v>#N/A</v>
      </c>
      <c r="AA10" s="23" t="e">
        <f t="shared" si="2"/>
        <v>#DIV/0!</v>
      </c>
      <c r="AB10" s="22" t="str">
        <f t="shared" si="3"/>
        <v/>
      </c>
      <c r="AC10" s="30" t="str">
        <f t="shared" si="4"/>
        <v/>
      </c>
      <c r="AD10" s="59"/>
      <c r="AE10" s="26"/>
      <c r="AF10" s="26"/>
      <c r="AG10" s="27"/>
    </row>
    <row r="11" spans="1:33" x14ac:dyDescent="0.25">
      <c r="A11" s="17" t="s">
        <v>34</v>
      </c>
      <c r="B11" s="14">
        <v>24</v>
      </c>
      <c r="C11" s="14">
        <v>82.1</v>
      </c>
      <c r="D11" s="14">
        <v>84.1</v>
      </c>
      <c r="E11" s="14">
        <v>86.2</v>
      </c>
      <c r="F11" s="14">
        <v>88.5</v>
      </c>
      <c r="G11" s="14">
        <v>90.9</v>
      </c>
      <c r="H11" s="14">
        <v>93.1</v>
      </c>
      <c r="I11" s="14">
        <v>95.3</v>
      </c>
      <c r="J11" s="14">
        <v>10.220000000000001</v>
      </c>
      <c r="K11" s="14">
        <v>10.9</v>
      </c>
      <c r="L11" s="14">
        <v>11.65</v>
      </c>
      <c r="M11" s="14">
        <v>12.54</v>
      </c>
      <c r="N11" s="14">
        <v>13.51</v>
      </c>
      <c r="O11" s="14">
        <v>14.46</v>
      </c>
      <c r="P11" s="14">
        <v>15.46</v>
      </c>
      <c r="Q11" s="11"/>
      <c r="R11" s="11"/>
      <c r="S11" s="24"/>
      <c r="T11" s="11"/>
      <c r="U11" s="11"/>
      <c r="V11" s="11"/>
      <c r="W11" s="11"/>
      <c r="X11" s="22"/>
      <c r="Y11" s="22" t="e">
        <f t="shared" si="1"/>
        <v>#N/A</v>
      </c>
      <c r="Z11" s="22" t="e">
        <f t="shared" si="1"/>
        <v>#N/A</v>
      </c>
      <c r="AA11" s="23" t="e">
        <f t="shared" si="2"/>
        <v>#DIV/0!</v>
      </c>
      <c r="AB11" s="22" t="str">
        <f t="shared" si="3"/>
        <v/>
      </c>
      <c r="AC11" s="30" t="str">
        <f t="shared" si="4"/>
        <v/>
      </c>
      <c r="AD11" s="59"/>
    </row>
    <row r="12" spans="1:33" x14ac:dyDescent="0.25">
      <c r="A12" s="17" t="s">
        <v>30</v>
      </c>
      <c r="B12" s="14">
        <v>30</v>
      </c>
      <c r="C12" s="14">
        <v>86.4</v>
      </c>
      <c r="D12" s="14">
        <v>88.6</v>
      </c>
      <c r="E12" s="14">
        <v>90.8</v>
      </c>
      <c r="F12" s="14">
        <v>93.3</v>
      </c>
      <c r="G12" s="14">
        <v>95.9</v>
      </c>
      <c r="H12" s="14">
        <v>98.2</v>
      </c>
      <c r="I12" s="14">
        <v>100.5</v>
      </c>
      <c r="J12" s="14">
        <v>11.11</v>
      </c>
      <c r="K12" s="14">
        <v>11.85</v>
      </c>
      <c r="L12" s="14">
        <v>12.66</v>
      </c>
      <c r="M12" s="14">
        <v>13.64</v>
      </c>
      <c r="N12" s="14">
        <v>14.7</v>
      </c>
      <c r="O12" s="14">
        <v>15.73</v>
      </c>
      <c r="P12" s="14">
        <v>16.829999999999998</v>
      </c>
      <c r="Q12" s="11"/>
      <c r="R12" s="11"/>
      <c r="S12" s="24"/>
      <c r="T12" s="11"/>
      <c r="U12" s="11"/>
      <c r="V12" s="11"/>
      <c r="W12" s="11"/>
      <c r="X12" s="22"/>
      <c r="Y12" s="22" t="e">
        <f t="shared" si="1"/>
        <v>#N/A</v>
      </c>
      <c r="Z12" s="22" t="e">
        <f t="shared" si="1"/>
        <v>#N/A</v>
      </c>
      <c r="AA12" s="23" t="e">
        <f t="shared" si="2"/>
        <v>#DIV/0!</v>
      </c>
      <c r="AB12" s="22" t="str">
        <f t="shared" si="3"/>
        <v/>
      </c>
      <c r="AC12" s="30" t="str">
        <f t="shared" si="4"/>
        <v/>
      </c>
      <c r="AD12" s="59"/>
    </row>
    <row r="13" spans="1:33" x14ac:dyDescent="0.25">
      <c r="A13" s="17" t="s">
        <v>32</v>
      </c>
      <c r="B13" s="14">
        <v>36</v>
      </c>
      <c r="C13" s="14">
        <v>89.7</v>
      </c>
      <c r="D13" s="14">
        <v>91.9</v>
      </c>
      <c r="E13" s="14">
        <v>94.2</v>
      </c>
      <c r="F13" s="14">
        <v>96.8</v>
      </c>
      <c r="G13" s="14">
        <v>99.4</v>
      </c>
      <c r="H13" s="14">
        <v>101.8</v>
      </c>
      <c r="I13" s="14">
        <v>104.1</v>
      </c>
      <c r="J13" s="14">
        <v>11.94</v>
      </c>
      <c r="K13" s="14">
        <v>12.74</v>
      </c>
      <c r="L13" s="14">
        <v>13.61</v>
      </c>
      <c r="M13" s="14">
        <v>14.65</v>
      </c>
      <c r="N13" s="14">
        <v>15.8</v>
      </c>
      <c r="O13" s="14">
        <v>16.920000000000002</v>
      </c>
      <c r="P13" s="14">
        <v>18.12</v>
      </c>
      <c r="Q13" s="11"/>
      <c r="R13" s="11"/>
      <c r="S13" s="24"/>
      <c r="T13" s="11"/>
      <c r="U13" s="11"/>
      <c r="V13" s="11"/>
      <c r="W13" s="11"/>
      <c r="X13" s="22"/>
      <c r="Y13" s="22" t="e">
        <f t="shared" si="1"/>
        <v>#N/A</v>
      </c>
      <c r="Z13" s="22" t="e">
        <f t="shared" si="1"/>
        <v>#N/A</v>
      </c>
      <c r="AA13" s="23" t="e">
        <f t="shared" si="2"/>
        <v>#DIV/0!</v>
      </c>
      <c r="AB13" s="22" t="str">
        <f t="shared" si="3"/>
        <v/>
      </c>
      <c r="AC13" s="30" t="str">
        <f t="shared" si="4"/>
        <v/>
      </c>
      <c r="AD13" s="59"/>
    </row>
  </sheetData>
  <protectedRanges>
    <protectedRange algorithmName="SHA-512" hashValue="tgdTsx4/GXU4lrIPOkFdUKZKo9lbhHHoTmE3qI1FcrCuGU5gVSMbsRWC2682tZ+7UD9/K3uVJvF0XgU6XM2g/w==" saltValue="COAZPGeH3xf+qkxIxn1DIA==" spinCount="100000" sqref="Q1:Z1" name="区域2"/>
    <protectedRange algorithmName="SHA-512" hashValue="tgdTsx4/GXU4lrIPOkFdUKZKo9lbhHHoTmE3qI1FcrCuGU5gVSMbsRWC2682tZ+7UD9/K3uVJvF0XgU6XM2g/w==" saltValue="COAZPGeH3xf+qkxIxn1DIA==" spinCount="100000" sqref="Y2:Y13" name="区域2_3"/>
    <protectedRange algorithmName="SHA-512" hashValue="tgdTsx4/GXU4lrIPOkFdUKZKo9lbhHHoTmE3qI1FcrCuGU5gVSMbsRWC2682tZ+7UD9/K3uVJvF0XgU6XM2g/w==" saltValue="COAZPGeH3xf+qkxIxn1DIA==" spinCount="100000" sqref="Z2:Z13" name="区域2_4"/>
    <protectedRange algorithmName="SHA-512" hashValue="tgdTsx4/GXU4lrIPOkFdUKZKo9lbhHHoTmE3qI1FcrCuGU5gVSMbsRWC2682tZ+7UD9/K3uVJvF0XgU6XM2g/w==" saltValue="COAZPGeH3xf+qkxIxn1DIA==" spinCount="100000" sqref="AG10 X2:X13" name="区域2_5"/>
  </protectedRanges>
  <mergeCells count="1">
    <mergeCell ref="AD2:AD13"/>
  </mergeCells>
  <phoneticPr fontId="1" type="noConversion"/>
  <dataValidations count="2">
    <dataValidation type="list" allowBlank="1" showInputMessage="1" showErrorMessage="1" sqref="T2:T13" xr:uid="{B1458D86-949F-474B-97E9-244A402A9CF0}">
      <formula1>$A$2:$A$13</formula1>
    </dataValidation>
    <dataValidation type="list" allowBlank="1" showInputMessage="1" showErrorMessage="1" sqref="R2:R13" xr:uid="{1E5954F4-E045-4D76-B5D8-23F40736667D}">
      <formula1>"男,女"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E687-ECC2-4F61-9D5B-EEA9C0CB99AF}">
  <sheetPr>
    <tabColor theme="4" tint="0.39997558519241921"/>
  </sheetPr>
  <dimension ref="A1:AD49"/>
  <sheetViews>
    <sheetView zoomScale="90" zoomScaleNormal="90" workbookViewId="0">
      <selection activeCell="V3" sqref="V3"/>
    </sheetView>
  </sheetViews>
  <sheetFormatPr defaultRowHeight="13.8" x14ac:dyDescent="0.25"/>
  <cols>
    <col min="1" max="1" width="5.6640625" bestFit="1" customWidth="1"/>
    <col min="2" max="2" width="4.44140625" bestFit="1" customWidth="1"/>
    <col min="3" max="3" width="3.5546875" bestFit="1" customWidth="1"/>
    <col min="4" max="9" width="4.109375" bestFit="1" customWidth="1"/>
    <col min="10" max="10" width="3.5546875" bestFit="1" customWidth="1"/>
    <col min="11" max="16" width="4.109375" bestFit="1" customWidth="1"/>
    <col min="17" max="17" width="5.5546875" bestFit="1" customWidth="1"/>
    <col min="18" max="18" width="4.6640625" bestFit="1" customWidth="1"/>
    <col min="19" max="19" width="8" bestFit="1" customWidth="1"/>
    <col min="20" max="20" width="6.5546875" bestFit="1" customWidth="1"/>
    <col min="21" max="21" width="6.33203125" bestFit="1" customWidth="1"/>
    <col min="22" max="23" width="8" bestFit="1" customWidth="1"/>
    <col min="24" max="26" width="9.6640625" bestFit="1" customWidth="1"/>
    <col min="27" max="27" width="6.88671875" bestFit="1" customWidth="1"/>
    <col min="28" max="29" width="8.6640625" bestFit="1" customWidth="1"/>
    <col min="30" max="30" width="18.21875" customWidth="1"/>
  </cols>
  <sheetData>
    <row r="1" spans="1:30" ht="21.6" x14ac:dyDescent="0.25">
      <c r="A1" s="51" t="s">
        <v>0</v>
      </c>
      <c r="B1" s="52" t="s">
        <v>45</v>
      </c>
      <c r="C1" s="51" t="s">
        <v>1</v>
      </c>
      <c r="D1" s="51" t="s">
        <v>2</v>
      </c>
      <c r="E1" s="51" t="s">
        <v>3</v>
      </c>
      <c r="F1" s="51" t="s">
        <v>4</v>
      </c>
      <c r="G1" s="51" t="s">
        <v>5</v>
      </c>
      <c r="H1" s="51" t="s">
        <v>6</v>
      </c>
      <c r="I1" s="51" t="s">
        <v>7</v>
      </c>
      <c r="J1" s="51" t="s">
        <v>1</v>
      </c>
      <c r="K1" s="51" t="s">
        <v>2</v>
      </c>
      <c r="L1" s="51" t="s">
        <v>3</v>
      </c>
      <c r="M1" s="51" t="s">
        <v>4</v>
      </c>
      <c r="N1" s="51" t="s">
        <v>5</v>
      </c>
      <c r="O1" s="51" t="s">
        <v>6</v>
      </c>
      <c r="P1" s="51" t="s">
        <v>7</v>
      </c>
      <c r="Q1" s="42" t="s">
        <v>19</v>
      </c>
      <c r="R1" s="42" t="s">
        <v>24</v>
      </c>
      <c r="S1" s="43" t="s">
        <v>54</v>
      </c>
      <c r="T1" s="44" t="s">
        <v>28</v>
      </c>
      <c r="U1" s="44" t="s">
        <v>55</v>
      </c>
      <c r="V1" s="44" t="s">
        <v>26</v>
      </c>
      <c r="W1" s="44" t="s">
        <v>27</v>
      </c>
      <c r="X1" s="45" t="s">
        <v>20</v>
      </c>
      <c r="Y1" s="45" t="s">
        <v>21</v>
      </c>
      <c r="Z1" s="45" t="s">
        <v>22</v>
      </c>
      <c r="AA1" s="46" t="s">
        <v>89</v>
      </c>
      <c r="AB1" s="28" t="s">
        <v>88</v>
      </c>
      <c r="AC1" s="28" t="s">
        <v>87</v>
      </c>
      <c r="AD1" s="29" t="s">
        <v>86</v>
      </c>
    </row>
    <row r="2" spans="1:30" x14ac:dyDescent="0.25">
      <c r="A2" s="14" t="s">
        <v>31</v>
      </c>
      <c r="B2" s="14">
        <v>36</v>
      </c>
      <c r="C2" s="14">
        <v>89.7</v>
      </c>
      <c r="D2" s="14">
        <v>91.9</v>
      </c>
      <c r="E2" s="14">
        <v>94.2</v>
      </c>
      <c r="F2" s="14">
        <v>96.8</v>
      </c>
      <c r="G2" s="14">
        <v>99.4</v>
      </c>
      <c r="H2" s="14">
        <v>101.8</v>
      </c>
      <c r="I2" s="14">
        <v>104.1</v>
      </c>
      <c r="J2" s="14">
        <v>11.94</v>
      </c>
      <c r="K2" s="14">
        <v>12.74</v>
      </c>
      <c r="L2" s="14">
        <v>13.61</v>
      </c>
      <c r="M2" s="14">
        <v>14.65</v>
      </c>
      <c r="N2" s="14">
        <v>15.8</v>
      </c>
      <c r="O2" s="14">
        <v>16.920000000000002</v>
      </c>
      <c r="P2" s="14">
        <v>18.12</v>
      </c>
      <c r="Q2" s="11" t="s">
        <v>107</v>
      </c>
      <c r="R2" s="11" t="s">
        <v>46</v>
      </c>
      <c r="S2" s="11"/>
      <c r="T2" s="11" t="s">
        <v>59</v>
      </c>
      <c r="U2" s="11"/>
      <c r="V2" s="11">
        <v>108</v>
      </c>
      <c r="W2" s="11">
        <v>17</v>
      </c>
      <c r="X2" s="22">
        <f t="shared" ref="X2:X31" si="0">IFERROR(VLOOKUP(T2,A:B, 2, 0), "")</f>
        <v>48</v>
      </c>
      <c r="Y2" s="22">
        <f t="shared" ref="Y2:Z31" si="1">IF(ISBLANK(V2),NA(),V2)</f>
        <v>108</v>
      </c>
      <c r="Z2" s="22">
        <f t="shared" si="1"/>
        <v>17</v>
      </c>
      <c r="AA2" s="23">
        <f t="shared" ref="AA2:AA31" si="2">W2/POWER(V2/100,2)</f>
        <v>14.574759945130314</v>
      </c>
      <c r="AB2" s="22">
        <f>IF(IFERROR(VALUE(LEFT(T2,LEN(T2)-1))/IF(ISNUMBER(SEARCH("月",T2)),12,1),0)&gt;=2,IFERROR(VALUE(LEFT(T2,LEN(T2)-1))/IF(ISNUMBER(SEARCH("月",T2)),12,1),""),"")</f>
        <v>4</v>
      </c>
      <c r="AC2" s="30">
        <f>IF(AB2&lt;&gt;"",ROUND(AA2,1),"")</f>
        <v>14.6</v>
      </c>
      <c r="AD2" s="60" t="s">
        <v>108</v>
      </c>
    </row>
    <row r="3" spans="1:30" x14ac:dyDescent="0.25">
      <c r="A3" s="14" t="s">
        <v>58</v>
      </c>
      <c r="B3" s="14">
        <v>42</v>
      </c>
      <c r="C3" s="14">
        <v>93.4</v>
      </c>
      <c r="D3" s="14">
        <v>95.7</v>
      </c>
      <c r="E3" s="14">
        <v>98</v>
      </c>
      <c r="F3" s="14">
        <v>100.6</v>
      </c>
      <c r="G3" s="14">
        <v>103.2</v>
      </c>
      <c r="H3" s="14">
        <v>105.7</v>
      </c>
      <c r="I3" s="14">
        <v>108.1</v>
      </c>
      <c r="J3" s="14">
        <v>12.73</v>
      </c>
      <c r="K3" s="14">
        <v>13.58</v>
      </c>
      <c r="L3" s="14">
        <v>14.51</v>
      </c>
      <c r="M3" s="14">
        <v>15.63</v>
      </c>
      <c r="N3" s="14">
        <v>16.86</v>
      </c>
      <c r="O3" s="14">
        <v>18.079999999999998</v>
      </c>
      <c r="P3" s="14">
        <v>19.38</v>
      </c>
      <c r="Q3" s="11" t="s">
        <v>107</v>
      </c>
      <c r="R3" s="11" t="s">
        <v>46</v>
      </c>
      <c r="S3" s="11"/>
      <c r="T3" s="11" t="s">
        <v>60</v>
      </c>
      <c r="U3" s="11"/>
      <c r="V3" s="11"/>
      <c r="W3" s="11"/>
      <c r="X3" s="22">
        <f t="shared" si="0"/>
        <v>54</v>
      </c>
      <c r="Y3" s="22" t="e">
        <f t="shared" si="1"/>
        <v>#N/A</v>
      </c>
      <c r="Z3" s="22" t="e">
        <f t="shared" si="1"/>
        <v>#N/A</v>
      </c>
      <c r="AA3" s="23" t="e">
        <f t="shared" si="2"/>
        <v>#DIV/0!</v>
      </c>
      <c r="AB3" s="22">
        <f t="shared" ref="AB3:AB31" si="3">IF(IFERROR(VALUE(LEFT(T3,LEN(T3)-1))/IF(ISNUMBER(SEARCH("月",T3)),12,1),0)&gt;=2,IFERROR(VALUE(LEFT(T3,LEN(T3)-1))/IF(ISNUMBER(SEARCH("月",T3)),12,1),""),"")</f>
        <v>4.5</v>
      </c>
      <c r="AC3" s="30" t="e">
        <f t="shared" ref="AC3:AC31" si="4">IF(AB3&lt;&gt;"",ROUND(AA3,1),"")</f>
        <v>#DIV/0!</v>
      </c>
      <c r="AD3" s="61"/>
    </row>
    <row r="4" spans="1:30" x14ac:dyDescent="0.25">
      <c r="A4" s="14" t="s">
        <v>59</v>
      </c>
      <c r="B4" s="14">
        <v>48</v>
      </c>
      <c r="C4" s="14">
        <v>96.7</v>
      </c>
      <c r="D4" s="14">
        <v>99.1</v>
      </c>
      <c r="E4" s="14">
        <v>101.4</v>
      </c>
      <c r="F4" s="14">
        <v>104.1</v>
      </c>
      <c r="G4" s="14">
        <v>106.9</v>
      </c>
      <c r="H4" s="14">
        <v>109.3</v>
      </c>
      <c r="I4" s="14">
        <v>111.8</v>
      </c>
      <c r="J4" s="14">
        <v>13.52</v>
      </c>
      <c r="K4" s="14">
        <v>14.43</v>
      </c>
      <c r="L4" s="14">
        <v>15.43</v>
      </c>
      <c r="M4" s="14">
        <v>16.64</v>
      </c>
      <c r="N4" s="14">
        <v>17.98</v>
      </c>
      <c r="O4" s="14">
        <v>19.29</v>
      </c>
      <c r="P4" s="14">
        <v>20.71</v>
      </c>
      <c r="Q4" s="11" t="s">
        <v>107</v>
      </c>
      <c r="R4" s="11" t="s">
        <v>46</v>
      </c>
      <c r="S4" s="11"/>
      <c r="T4" s="11" t="s">
        <v>61</v>
      </c>
      <c r="U4" s="11"/>
      <c r="V4" s="11"/>
      <c r="W4" s="11"/>
      <c r="X4" s="22">
        <f t="shared" si="0"/>
        <v>60</v>
      </c>
      <c r="Y4" s="22" t="e">
        <f t="shared" si="1"/>
        <v>#N/A</v>
      </c>
      <c r="Z4" s="22" t="e">
        <f t="shared" si="1"/>
        <v>#N/A</v>
      </c>
      <c r="AA4" s="23" t="e">
        <f t="shared" si="2"/>
        <v>#DIV/0!</v>
      </c>
      <c r="AB4" s="22">
        <f t="shared" si="3"/>
        <v>5</v>
      </c>
      <c r="AC4" s="30" t="e">
        <f t="shared" si="4"/>
        <v>#DIV/0!</v>
      </c>
      <c r="AD4" s="61"/>
    </row>
    <row r="5" spans="1:30" x14ac:dyDescent="0.25">
      <c r="A5" s="14" t="s">
        <v>60</v>
      </c>
      <c r="B5" s="14">
        <v>54</v>
      </c>
      <c r="C5" s="14">
        <v>100</v>
      </c>
      <c r="D5" s="14">
        <v>102.4</v>
      </c>
      <c r="E5" s="14">
        <v>104.9</v>
      </c>
      <c r="F5" s="14">
        <v>107.7</v>
      </c>
      <c r="G5" s="14">
        <v>110.5</v>
      </c>
      <c r="H5" s="14">
        <v>113.1</v>
      </c>
      <c r="I5" s="14">
        <v>115.7</v>
      </c>
      <c r="J5" s="14">
        <v>14.37</v>
      </c>
      <c r="K5" s="14">
        <v>15.35</v>
      </c>
      <c r="L5" s="14">
        <v>16.43</v>
      </c>
      <c r="M5" s="14">
        <v>17.75</v>
      </c>
      <c r="N5" s="14">
        <v>19.22</v>
      </c>
      <c r="O5" s="14">
        <v>20.67</v>
      </c>
      <c r="P5" s="14">
        <v>22.24</v>
      </c>
      <c r="Q5" s="11" t="s">
        <v>107</v>
      </c>
      <c r="R5" s="11" t="s">
        <v>46</v>
      </c>
      <c r="S5" s="11"/>
      <c r="T5" s="11" t="s">
        <v>62</v>
      </c>
      <c r="U5" s="11"/>
      <c r="V5" s="11"/>
      <c r="W5" s="11"/>
      <c r="X5" s="22">
        <f t="shared" si="0"/>
        <v>66</v>
      </c>
      <c r="Y5" s="22" t="e">
        <f t="shared" si="1"/>
        <v>#N/A</v>
      </c>
      <c r="Z5" s="22" t="e">
        <f t="shared" si="1"/>
        <v>#N/A</v>
      </c>
      <c r="AA5" s="23" t="e">
        <f t="shared" si="2"/>
        <v>#DIV/0!</v>
      </c>
      <c r="AB5" s="22">
        <f t="shared" si="3"/>
        <v>5.5</v>
      </c>
      <c r="AC5" s="30" t="e">
        <f t="shared" si="4"/>
        <v>#DIV/0!</v>
      </c>
      <c r="AD5" s="61"/>
    </row>
    <row r="6" spans="1:30" x14ac:dyDescent="0.25">
      <c r="A6" s="14" t="s">
        <v>61</v>
      </c>
      <c r="B6" s="14">
        <v>60</v>
      </c>
      <c r="C6" s="14">
        <v>103.3</v>
      </c>
      <c r="D6" s="14">
        <v>105.8</v>
      </c>
      <c r="E6" s="14">
        <v>108.4</v>
      </c>
      <c r="F6" s="14">
        <v>111.3</v>
      </c>
      <c r="G6" s="14">
        <v>114.2</v>
      </c>
      <c r="H6" s="14">
        <v>116.9</v>
      </c>
      <c r="I6" s="14">
        <v>119.6</v>
      </c>
      <c r="J6" s="14">
        <v>15.26</v>
      </c>
      <c r="K6" s="14">
        <v>16.329999999999998</v>
      </c>
      <c r="L6" s="14">
        <v>17.52</v>
      </c>
      <c r="M6" s="14">
        <v>18.98</v>
      </c>
      <c r="N6" s="14">
        <v>20.61</v>
      </c>
      <c r="O6" s="14">
        <v>22.23</v>
      </c>
      <c r="P6" s="14">
        <v>24</v>
      </c>
      <c r="Q6" s="11" t="s">
        <v>107</v>
      </c>
      <c r="R6" s="11" t="s">
        <v>46</v>
      </c>
      <c r="S6" s="11"/>
      <c r="T6" s="11" t="s">
        <v>63</v>
      </c>
      <c r="U6" s="11"/>
      <c r="V6" s="11"/>
      <c r="W6" s="11"/>
      <c r="X6" s="22">
        <f t="shared" si="0"/>
        <v>72</v>
      </c>
      <c r="Y6" s="22" t="e">
        <f t="shared" si="1"/>
        <v>#N/A</v>
      </c>
      <c r="Z6" s="22" t="e">
        <f t="shared" si="1"/>
        <v>#N/A</v>
      </c>
      <c r="AA6" s="23" t="e">
        <f t="shared" si="2"/>
        <v>#DIV/0!</v>
      </c>
      <c r="AB6" s="22">
        <f t="shared" si="3"/>
        <v>6</v>
      </c>
      <c r="AC6" s="30" t="e">
        <f t="shared" si="4"/>
        <v>#DIV/0!</v>
      </c>
      <c r="AD6" s="61"/>
    </row>
    <row r="7" spans="1:30" x14ac:dyDescent="0.25">
      <c r="A7" s="14" t="s">
        <v>62</v>
      </c>
      <c r="B7" s="14">
        <v>66</v>
      </c>
      <c r="C7" s="14">
        <v>106.4</v>
      </c>
      <c r="D7" s="14">
        <v>109</v>
      </c>
      <c r="E7" s="14">
        <v>111.7</v>
      </c>
      <c r="F7" s="14">
        <v>114.7</v>
      </c>
      <c r="G7" s="14">
        <v>117.7</v>
      </c>
      <c r="H7" s="14">
        <v>120.5</v>
      </c>
      <c r="I7" s="14">
        <v>123.3</v>
      </c>
      <c r="J7" s="14">
        <v>16.09</v>
      </c>
      <c r="K7" s="14">
        <v>17.260000000000002</v>
      </c>
      <c r="L7" s="14">
        <v>18.559999999999999</v>
      </c>
      <c r="M7" s="14">
        <v>20.18</v>
      </c>
      <c r="N7" s="14">
        <v>21.98</v>
      </c>
      <c r="O7" s="14">
        <v>23.81</v>
      </c>
      <c r="P7" s="14">
        <v>25.81</v>
      </c>
      <c r="Q7" s="11" t="s">
        <v>107</v>
      </c>
      <c r="R7" s="11" t="s">
        <v>46</v>
      </c>
      <c r="S7" s="11"/>
      <c r="T7" s="11"/>
      <c r="U7" s="11"/>
      <c r="V7" s="11"/>
      <c r="W7" s="11"/>
      <c r="X7" s="22" t="str">
        <f t="shared" si="0"/>
        <v/>
      </c>
      <c r="Y7" s="22" t="e">
        <f t="shared" si="1"/>
        <v>#N/A</v>
      </c>
      <c r="Z7" s="22" t="e">
        <f t="shared" si="1"/>
        <v>#N/A</v>
      </c>
      <c r="AA7" s="23" t="e">
        <f t="shared" si="2"/>
        <v>#DIV/0!</v>
      </c>
      <c r="AB7" s="22" t="str">
        <f t="shared" si="3"/>
        <v/>
      </c>
      <c r="AC7" s="30" t="str">
        <f t="shared" si="4"/>
        <v/>
      </c>
      <c r="AD7" s="61"/>
    </row>
    <row r="8" spans="1:30" x14ac:dyDescent="0.25">
      <c r="A8" s="14" t="s">
        <v>63</v>
      </c>
      <c r="B8" s="14">
        <v>72</v>
      </c>
      <c r="C8" s="14">
        <v>109.1</v>
      </c>
      <c r="D8" s="14">
        <v>111.8</v>
      </c>
      <c r="E8" s="14">
        <v>114.6</v>
      </c>
      <c r="F8" s="14">
        <v>117.7</v>
      </c>
      <c r="G8" s="14">
        <v>120.9</v>
      </c>
      <c r="H8" s="14">
        <v>123.7</v>
      </c>
      <c r="I8" s="14">
        <v>126.6</v>
      </c>
      <c r="J8" s="14">
        <v>16.8</v>
      </c>
      <c r="K8" s="14">
        <v>18.059999999999999</v>
      </c>
      <c r="L8" s="14">
        <v>19.489999999999998</v>
      </c>
      <c r="M8" s="14">
        <v>21.26</v>
      </c>
      <c r="N8" s="14">
        <v>23.26</v>
      </c>
      <c r="O8" s="14">
        <v>25.29</v>
      </c>
      <c r="P8" s="14">
        <v>27.55</v>
      </c>
      <c r="Q8" s="11" t="s">
        <v>107</v>
      </c>
      <c r="R8" s="11" t="s">
        <v>46</v>
      </c>
      <c r="S8" s="11"/>
      <c r="T8" s="11"/>
      <c r="U8" s="11"/>
      <c r="V8" s="11"/>
      <c r="W8" s="11"/>
      <c r="X8" s="22" t="str">
        <f t="shared" si="0"/>
        <v/>
      </c>
      <c r="Y8" s="22" t="e">
        <f t="shared" si="1"/>
        <v>#N/A</v>
      </c>
      <c r="Z8" s="22" t="e">
        <f t="shared" si="1"/>
        <v>#N/A</v>
      </c>
      <c r="AA8" s="23" t="e">
        <f t="shared" si="2"/>
        <v>#DIV/0!</v>
      </c>
      <c r="AB8" s="22" t="str">
        <f t="shared" si="3"/>
        <v/>
      </c>
      <c r="AC8" s="30" t="str">
        <f t="shared" si="4"/>
        <v/>
      </c>
      <c r="AD8" s="61"/>
    </row>
    <row r="9" spans="1:30" x14ac:dyDescent="0.25">
      <c r="A9" s="14" t="s">
        <v>57</v>
      </c>
      <c r="B9" s="14">
        <v>78</v>
      </c>
      <c r="C9" s="14">
        <v>111.7</v>
      </c>
      <c r="D9" s="14">
        <v>114.5</v>
      </c>
      <c r="E9" s="14">
        <v>117.4</v>
      </c>
      <c r="F9" s="14">
        <v>120.7</v>
      </c>
      <c r="G9" s="14">
        <v>123.9</v>
      </c>
      <c r="H9" s="14">
        <v>126.9</v>
      </c>
      <c r="I9" s="14">
        <v>129.9</v>
      </c>
      <c r="J9" s="14">
        <v>17.53</v>
      </c>
      <c r="K9" s="14">
        <v>18.920000000000002</v>
      </c>
      <c r="L9" s="14">
        <v>20.49</v>
      </c>
      <c r="M9" s="14">
        <v>22.45</v>
      </c>
      <c r="N9" s="14">
        <v>24.7</v>
      </c>
      <c r="O9" s="14">
        <v>27</v>
      </c>
      <c r="P9" s="14">
        <v>29.57</v>
      </c>
      <c r="Q9" s="11" t="s">
        <v>107</v>
      </c>
      <c r="R9" s="11" t="s">
        <v>46</v>
      </c>
      <c r="S9" s="11"/>
      <c r="T9" s="11"/>
      <c r="U9" s="11"/>
      <c r="V9" s="11"/>
      <c r="W9" s="11"/>
      <c r="X9" s="22" t="str">
        <f t="shared" si="0"/>
        <v/>
      </c>
      <c r="Y9" s="22" t="e">
        <f t="shared" si="1"/>
        <v>#N/A</v>
      </c>
      <c r="Z9" s="22" t="e">
        <f t="shared" si="1"/>
        <v>#N/A</v>
      </c>
      <c r="AA9" s="23" t="e">
        <f t="shared" si="2"/>
        <v>#DIV/0!</v>
      </c>
      <c r="AB9" s="22" t="str">
        <f t="shared" si="3"/>
        <v/>
      </c>
      <c r="AC9" s="30" t="str">
        <f t="shared" si="4"/>
        <v/>
      </c>
      <c r="AD9" s="61"/>
    </row>
    <row r="10" spans="1:30" x14ac:dyDescent="0.25">
      <c r="A10" s="14" t="s">
        <v>64</v>
      </c>
      <c r="B10" s="14">
        <v>84</v>
      </c>
      <c r="C10" s="14">
        <v>114.6</v>
      </c>
      <c r="D10" s="14">
        <v>117.6</v>
      </c>
      <c r="E10" s="14">
        <v>120.6</v>
      </c>
      <c r="F10" s="14">
        <v>124</v>
      </c>
      <c r="G10" s="14">
        <v>127.4</v>
      </c>
      <c r="H10" s="14">
        <v>130.5</v>
      </c>
      <c r="I10" s="14">
        <v>133.69999999999999</v>
      </c>
      <c r="J10" s="14">
        <v>18.48</v>
      </c>
      <c r="K10" s="14">
        <v>20.04</v>
      </c>
      <c r="L10" s="14">
        <v>21.81</v>
      </c>
      <c r="M10" s="14">
        <v>24.06</v>
      </c>
      <c r="N10" s="14">
        <v>26.66</v>
      </c>
      <c r="O10" s="14">
        <v>29.35</v>
      </c>
      <c r="P10" s="14">
        <v>32.409999999999997</v>
      </c>
      <c r="Q10" s="11" t="s">
        <v>107</v>
      </c>
      <c r="R10" s="11" t="s">
        <v>46</v>
      </c>
      <c r="S10" s="11"/>
      <c r="T10" s="11"/>
      <c r="U10" s="11"/>
      <c r="V10" s="11"/>
      <c r="W10" s="11"/>
      <c r="X10" s="22" t="str">
        <f t="shared" si="0"/>
        <v/>
      </c>
      <c r="Y10" s="22" t="e">
        <f t="shared" si="1"/>
        <v>#N/A</v>
      </c>
      <c r="Z10" s="22" t="e">
        <f t="shared" si="1"/>
        <v>#N/A</v>
      </c>
      <c r="AA10" s="23" t="e">
        <f t="shared" si="2"/>
        <v>#DIV/0!</v>
      </c>
      <c r="AB10" s="22" t="str">
        <f t="shared" si="3"/>
        <v/>
      </c>
      <c r="AC10" s="30" t="str">
        <f t="shared" si="4"/>
        <v/>
      </c>
      <c r="AD10" s="61"/>
    </row>
    <row r="11" spans="1:30" x14ac:dyDescent="0.25">
      <c r="A11" s="14" t="s">
        <v>65</v>
      </c>
      <c r="B11" s="14">
        <v>90</v>
      </c>
      <c r="C11" s="14">
        <v>117.4</v>
      </c>
      <c r="D11" s="14">
        <v>120.5</v>
      </c>
      <c r="E11" s="14">
        <v>123.6</v>
      </c>
      <c r="F11" s="14">
        <v>127.1</v>
      </c>
      <c r="G11" s="14">
        <v>130.69999999999999</v>
      </c>
      <c r="H11" s="14">
        <v>133.9</v>
      </c>
      <c r="I11" s="14">
        <v>137.19999999999999</v>
      </c>
      <c r="J11" s="14">
        <v>19.43</v>
      </c>
      <c r="K11" s="14">
        <v>21.17</v>
      </c>
      <c r="L11" s="14">
        <v>23.16</v>
      </c>
      <c r="M11" s="14">
        <v>25.72</v>
      </c>
      <c r="N11" s="14">
        <v>28.7</v>
      </c>
      <c r="O11" s="14">
        <v>31.84</v>
      </c>
      <c r="P11" s="14">
        <v>35.450000000000003</v>
      </c>
      <c r="Q11" s="11" t="s">
        <v>107</v>
      </c>
      <c r="R11" s="11" t="s">
        <v>46</v>
      </c>
      <c r="S11" s="11"/>
      <c r="T11" s="11"/>
      <c r="U11" s="11"/>
      <c r="V11" s="11"/>
      <c r="W11" s="11"/>
      <c r="X11" s="22" t="str">
        <f t="shared" si="0"/>
        <v/>
      </c>
      <c r="Y11" s="22" t="e">
        <f t="shared" si="1"/>
        <v>#N/A</v>
      </c>
      <c r="Z11" s="22" t="e">
        <f t="shared" si="1"/>
        <v>#N/A</v>
      </c>
      <c r="AA11" s="23" t="e">
        <f t="shared" si="2"/>
        <v>#DIV/0!</v>
      </c>
      <c r="AB11" s="22" t="str">
        <f t="shared" si="3"/>
        <v/>
      </c>
      <c r="AC11" s="30" t="str">
        <f t="shared" si="4"/>
        <v/>
      </c>
      <c r="AD11" s="61"/>
    </row>
    <row r="12" spans="1:30" x14ac:dyDescent="0.25">
      <c r="A12" s="14" t="s">
        <v>66</v>
      </c>
      <c r="B12" s="14">
        <v>96</v>
      </c>
      <c r="C12" s="14">
        <v>119.9</v>
      </c>
      <c r="D12" s="14">
        <v>123.1</v>
      </c>
      <c r="E12" s="14">
        <v>126.3</v>
      </c>
      <c r="F12" s="14">
        <v>130</v>
      </c>
      <c r="G12" s="14">
        <v>133.69999999999999</v>
      </c>
      <c r="H12" s="14">
        <v>137.1</v>
      </c>
      <c r="I12" s="14">
        <v>140.4</v>
      </c>
      <c r="J12" s="14">
        <v>20.32</v>
      </c>
      <c r="K12" s="14">
        <v>22.24</v>
      </c>
      <c r="L12" s="14">
        <v>24.46</v>
      </c>
      <c r="M12" s="14">
        <v>27.33</v>
      </c>
      <c r="N12" s="14">
        <v>30.71</v>
      </c>
      <c r="O12" s="14">
        <v>34.31</v>
      </c>
      <c r="P12" s="14">
        <v>38.49</v>
      </c>
      <c r="Q12" s="11" t="s">
        <v>107</v>
      </c>
      <c r="R12" s="11" t="s">
        <v>46</v>
      </c>
      <c r="S12" s="11"/>
      <c r="T12" s="11"/>
      <c r="U12" s="11"/>
      <c r="V12" s="11"/>
      <c r="W12" s="11"/>
      <c r="X12" s="22" t="str">
        <f t="shared" si="0"/>
        <v/>
      </c>
      <c r="Y12" s="22" t="e">
        <f t="shared" si="1"/>
        <v>#N/A</v>
      </c>
      <c r="Z12" s="22" t="e">
        <f t="shared" si="1"/>
        <v>#N/A</v>
      </c>
      <c r="AA12" s="23" t="e">
        <f t="shared" si="2"/>
        <v>#DIV/0!</v>
      </c>
      <c r="AB12" s="22" t="str">
        <f t="shared" si="3"/>
        <v/>
      </c>
      <c r="AC12" s="30" t="str">
        <f t="shared" si="4"/>
        <v/>
      </c>
      <c r="AD12" s="61"/>
    </row>
    <row r="13" spans="1:30" x14ac:dyDescent="0.25">
      <c r="A13" s="14" t="s">
        <v>67</v>
      </c>
      <c r="B13" s="14">
        <v>102</v>
      </c>
      <c r="C13" s="14">
        <v>122.3</v>
      </c>
      <c r="D13" s="14">
        <v>125.6</v>
      </c>
      <c r="E13" s="14">
        <v>129</v>
      </c>
      <c r="F13" s="14">
        <v>132.69999999999999</v>
      </c>
      <c r="G13" s="14">
        <v>136.6</v>
      </c>
      <c r="H13" s="14">
        <v>140.1</v>
      </c>
      <c r="I13" s="14">
        <v>143.6</v>
      </c>
      <c r="J13" s="14">
        <v>21.18</v>
      </c>
      <c r="K13" s="14">
        <v>23.28</v>
      </c>
      <c r="L13" s="14">
        <v>25.73</v>
      </c>
      <c r="M13" s="14">
        <v>28.91</v>
      </c>
      <c r="N13" s="14">
        <v>32.69</v>
      </c>
      <c r="O13" s="14">
        <v>36.74</v>
      </c>
      <c r="P13" s="14">
        <v>41.49</v>
      </c>
      <c r="Q13" s="11" t="s">
        <v>107</v>
      </c>
      <c r="R13" s="11" t="s">
        <v>46</v>
      </c>
      <c r="S13" s="11"/>
      <c r="T13" s="11"/>
      <c r="U13" s="11"/>
      <c r="V13" s="11"/>
      <c r="W13" s="11"/>
      <c r="X13" s="22" t="str">
        <f t="shared" si="0"/>
        <v/>
      </c>
      <c r="Y13" s="22" t="e">
        <f t="shared" si="1"/>
        <v>#N/A</v>
      </c>
      <c r="Z13" s="22" t="e">
        <f t="shared" si="1"/>
        <v>#N/A</v>
      </c>
      <c r="AA13" s="23" t="e">
        <f t="shared" si="2"/>
        <v>#DIV/0!</v>
      </c>
      <c r="AB13" s="22" t="str">
        <f t="shared" si="3"/>
        <v/>
      </c>
      <c r="AC13" s="30" t="str">
        <f t="shared" si="4"/>
        <v/>
      </c>
      <c r="AD13" s="61"/>
    </row>
    <row r="14" spans="1:30" x14ac:dyDescent="0.25">
      <c r="A14" s="14" t="s">
        <v>68</v>
      </c>
      <c r="B14" s="14">
        <v>108</v>
      </c>
      <c r="C14" s="14">
        <v>124.6</v>
      </c>
      <c r="D14" s="14">
        <v>128</v>
      </c>
      <c r="E14" s="14">
        <v>131.4</v>
      </c>
      <c r="F14" s="14">
        <v>135.4</v>
      </c>
      <c r="G14" s="14">
        <v>139.30000000000001</v>
      </c>
      <c r="H14" s="14">
        <v>142.9</v>
      </c>
      <c r="I14" s="14">
        <v>146.5</v>
      </c>
      <c r="J14" s="14">
        <v>22.04</v>
      </c>
      <c r="K14" s="14">
        <v>24.31</v>
      </c>
      <c r="L14" s="14">
        <v>26.98</v>
      </c>
      <c r="M14" s="14">
        <v>30.46</v>
      </c>
      <c r="N14" s="14">
        <v>34.61</v>
      </c>
      <c r="O14" s="14">
        <v>39.08</v>
      </c>
      <c r="P14" s="14">
        <v>44.35</v>
      </c>
      <c r="Q14" s="11" t="s">
        <v>107</v>
      </c>
      <c r="R14" s="11" t="s">
        <v>46</v>
      </c>
      <c r="S14" s="11"/>
      <c r="T14" s="11"/>
      <c r="U14" s="11"/>
      <c r="V14" s="11"/>
      <c r="W14" s="11"/>
      <c r="X14" s="22" t="str">
        <f t="shared" si="0"/>
        <v/>
      </c>
      <c r="Y14" s="22" t="e">
        <f t="shared" si="1"/>
        <v>#N/A</v>
      </c>
      <c r="Z14" s="22" t="e">
        <f t="shared" si="1"/>
        <v>#N/A</v>
      </c>
      <c r="AA14" s="23" t="e">
        <f t="shared" si="2"/>
        <v>#DIV/0!</v>
      </c>
      <c r="AB14" s="22" t="str">
        <f t="shared" si="3"/>
        <v/>
      </c>
      <c r="AC14" s="30" t="str">
        <f t="shared" si="4"/>
        <v/>
      </c>
      <c r="AD14" s="61"/>
    </row>
    <row r="15" spans="1:30" x14ac:dyDescent="0.25">
      <c r="A15" s="14" t="s">
        <v>69</v>
      </c>
      <c r="B15" s="14">
        <v>114</v>
      </c>
      <c r="C15" s="14">
        <v>126.7</v>
      </c>
      <c r="D15" s="14">
        <v>130.30000000000001</v>
      </c>
      <c r="E15" s="14">
        <v>133.9</v>
      </c>
      <c r="F15" s="14">
        <v>137.9</v>
      </c>
      <c r="G15" s="14">
        <v>142</v>
      </c>
      <c r="H15" s="14">
        <v>145.69999999999999</v>
      </c>
      <c r="I15" s="14">
        <v>149.4</v>
      </c>
      <c r="J15" s="14">
        <v>22.95</v>
      </c>
      <c r="K15" s="14">
        <v>25.42</v>
      </c>
      <c r="L15" s="14">
        <v>28.31</v>
      </c>
      <c r="M15" s="14">
        <v>32.090000000000003</v>
      </c>
      <c r="N15" s="14">
        <v>36.61</v>
      </c>
      <c r="O15" s="14">
        <v>41.49</v>
      </c>
      <c r="P15" s="14">
        <v>47.24</v>
      </c>
      <c r="Q15" s="11" t="s">
        <v>107</v>
      </c>
      <c r="R15" s="11" t="s">
        <v>46</v>
      </c>
      <c r="S15" s="11"/>
      <c r="T15" s="11"/>
      <c r="U15" s="11"/>
      <c r="V15" s="11"/>
      <c r="W15" s="11"/>
      <c r="X15" s="22" t="str">
        <f t="shared" si="0"/>
        <v/>
      </c>
      <c r="Y15" s="22" t="e">
        <f t="shared" si="1"/>
        <v>#N/A</v>
      </c>
      <c r="Z15" s="22" t="e">
        <f t="shared" si="1"/>
        <v>#N/A</v>
      </c>
      <c r="AA15" s="23" t="e">
        <f t="shared" si="2"/>
        <v>#DIV/0!</v>
      </c>
      <c r="AB15" s="22" t="str">
        <f t="shared" si="3"/>
        <v/>
      </c>
      <c r="AC15" s="30" t="str">
        <f t="shared" si="4"/>
        <v/>
      </c>
      <c r="AD15" s="61"/>
    </row>
    <row r="16" spans="1:30" x14ac:dyDescent="0.25">
      <c r="A16" s="14" t="s">
        <v>70</v>
      </c>
      <c r="B16" s="14">
        <v>120</v>
      </c>
      <c r="C16" s="14">
        <v>128.69999999999999</v>
      </c>
      <c r="D16" s="14">
        <v>132.30000000000001</v>
      </c>
      <c r="E16" s="14">
        <v>136</v>
      </c>
      <c r="F16" s="14">
        <v>140.19999999999999</v>
      </c>
      <c r="G16" s="14">
        <v>144.4</v>
      </c>
      <c r="H16" s="14">
        <v>148.19999999999999</v>
      </c>
      <c r="I16" s="14">
        <v>152</v>
      </c>
      <c r="J16" s="14">
        <v>23.89</v>
      </c>
      <c r="K16" s="14">
        <v>26.55</v>
      </c>
      <c r="L16" s="14">
        <v>29.66</v>
      </c>
      <c r="M16" s="14">
        <v>33.74</v>
      </c>
      <c r="N16" s="14">
        <v>38.61</v>
      </c>
      <c r="O16" s="14">
        <v>43.85</v>
      </c>
      <c r="P16" s="14">
        <v>50.01</v>
      </c>
      <c r="Q16" s="11" t="s">
        <v>107</v>
      </c>
      <c r="R16" s="11" t="s">
        <v>46</v>
      </c>
      <c r="S16" s="11"/>
      <c r="T16" s="11"/>
      <c r="U16" s="11"/>
      <c r="V16" s="11"/>
      <c r="W16" s="11"/>
      <c r="X16" s="22" t="str">
        <f t="shared" si="0"/>
        <v/>
      </c>
      <c r="Y16" s="22" t="e">
        <f t="shared" si="1"/>
        <v>#N/A</v>
      </c>
      <c r="Z16" s="22" t="e">
        <f t="shared" si="1"/>
        <v>#N/A</v>
      </c>
      <c r="AA16" s="23" t="e">
        <f t="shared" si="2"/>
        <v>#DIV/0!</v>
      </c>
      <c r="AB16" s="22" t="str">
        <f t="shared" si="3"/>
        <v/>
      </c>
      <c r="AC16" s="30" t="str">
        <f t="shared" si="4"/>
        <v/>
      </c>
      <c r="AD16" s="61"/>
    </row>
    <row r="17" spans="1:30" x14ac:dyDescent="0.25">
      <c r="A17" s="14" t="s">
        <v>71</v>
      </c>
      <c r="B17" s="14">
        <v>126</v>
      </c>
      <c r="C17" s="14">
        <v>130.69999999999999</v>
      </c>
      <c r="D17" s="14">
        <v>134.5</v>
      </c>
      <c r="E17" s="14">
        <v>138.30000000000001</v>
      </c>
      <c r="F17" s="14">
        <v>142.6</v>
      </c>
      <c r="G17" s="14">
        <v>147</v>
      </c>
      <c r="H17" s="14">
        <v>150.9</v>
      </c>
      <c r="I17" s="14">
        <v>154.9</v>
      </c>
      <c r="J17" s="14">
        <v>24.96</v>
      </c>
      <c r="K17" s="14">
        <v>27.83</v>
      </c>
      <c r="L17" s="14">
        <v>31.2</v>
      </c>
      <c r="M17" s="14">
        <v>35.58</v>
      </c>
      <c r="N17" s="14">
        <v>40.81</v>
      </c>
      <c r="O17" s="14">
        <v>46.4</v>
      </c>
      <c r="P17" s="14">
        <v>52.93</v>
      </c>
      <c r="Q17" s="11" t="s">
        <v>107</v>
      </c>
      <c r="R17" s="11" t="s">
        <v>46</v>
      </c>
      <c r="S17" s="11"/>
      <c r="T17" s="11"/>
      <c r="U17" s="11"/>
      <c r="V17" s="11"/>
      <c r="W17" s="11"/>
      <c r="X17" s="22" t="str">
        <f t="shared" si="0"/>
        <v/>
      </c>
      <c r="Y17" s="22" t="e">
        <f t="shared" si="1"/>
        <v>#N/A</v>
      </c>
      <c r="Z17" s="22" t="e">
        <f t="shared" si="1"/>
        <v>#N/A</v>
      </c>
      <c r="AA17" s="23" t="e">
        <f t="shared" si="2"/>
        <v>#DIV/0!</v>
      </c>
      <c r="AB17" s="22" t="str">
        <f t="shared" si="3"/>
        <v/>
      </c>
      <c r="AC17" s="30" t="str">
        <f t="shared" si="4"/>
        <v/>
      </c>
      <c r="AD17" s="61"/>
    </row>
    <row r="18" spans="1:30" x14ac:dyDescent="0.25">
      <c r="A18" s="14" t="s">
        <v>72</v>
      </c>
      <c r="B18" s="14">
        <v>132</v>
      </c>
      <c r="C18" s="14">
        <v>132.9</v>
      </c>
      <c r="D18" s="14">
        <v>136.80000000000001</v>
      </c>
      <c r="E18" s="14">
        <v>140.80000000000001</v>
      </c>
      <c r="F18" s="14">
        <v>145.30000000000001</v>
      </c>
      <c r="G18" s="14">
        <v>149.9</v>
      </c>
      <c r="H18" s="14">
        <v>154</v>
      </c>
      <c r="I18" s="14">
        <v>158.1</v>
      </c>
      <c r="J18" s="14">
        <v>26.21</v>
      </c>
      <c r="K18" s="14">
        <v>29.33</v>
      </c>
      <c r="L18" s="14">
        <v>32.97</v>
      </c>
      <c r="M18" s="14">
        <v>37.69</v>
      </c>
      <c r="N18" s="14">
        <v>43.27</v>
      </c>
      <c r="O18" s="14">
        <v>49.2</v>
      </c>
      <c r="P18" s="14">
        <v>56.07</v>
      </c>
      <c r="Q18" s="11" t="s">
        <v>107</v>
      </c>
      <c r="R18" s="11" t="s">
        <v>46</v>
      </c>
      <c r="S18" s="11"/>
      <c r="T18" s="11"/>
      <c r="U18" s="11"/>
      <c r="V18" s="11"/>
      <c r="W18" s="11"/>
      <c r="X18" s="22" t="str">
        <f t="shared" si="0"/>
        <v/>
      </c>
      <c r="Y18" s="22" t="e">
        <f t="shared" si="1"/>
        <v>#N/A</v>
      </c>
      <c r="Z18" s="22" t="e">
        <f t="shared" si="1"/>
        <v>#N/A</v>
      </c>
      <c r="AA18" s="23" t="e">
        <f t="shared" si="2"/>
        <v>#DIV/0!</v>
      </c>
      <c r="AB18" s="22" t="str">
        <f t="shared" si="3"/>
        <v/>
      </c>
      <c r="AC18" s="30" t="str">
        <f t="shared" si="4"/>
        <v/>
      </c>
      <c r="AD18" s="61"/>
    </row>
    <row r="19" spans="1:30" x14ac:dyDescent="0.25">
      <c r="A19" s="14" t="s">
        <v>73</v>
      </c>
      <c r="B19" s="14">
        <v>138</v>
      </c>
      <c r="C19" s="14">
        <v>135.30000000000001</v>
      </c>
      <c r="D19" s="14">
        <v>139.5</v>
      </c>
      <c r="E19" s="14">
        <v>143.69999999999999</v>
      </c>
      <c r="F19" s="14">
        <v>148.4</v>
      </c>
      <c r="G19" s="14">
        <v>153.1</v>
      </c>
      <c r="H19" s="14">
        <v>157.4</v>
      </c>
      <c r="I19" s="14">
        <v>161.69999999999999</v>
      </c>
      <c r="J19" s="14">
        <v>27.59</v>
      </c>
      <c r="K19" s="14">
        <v>30.97</v>
      </c>
      <c r="L19" s="14">
        <v>34.909999999999997</v>
      </c>
      <c r="M19" s="14">
        <v>39.979999999999997</v>
      </c>
      <c r="N19" s="14">
        <v>45.94</v>
      </c>
      <c r="O19" s="14">
        <v>52.21</v>
      </c>
      <c r="P19" s="14">
        <v>59.4</v>
      </c>
      <c r="Q19" s="11" t="s">
        <v>107</v>
      </c>
      <c r="R19" s="11" t="s">
        <v>46</v>
      </c>
      <c r="S19" s="11"/>
      <c r="T19" s="11"/>
      <c r="U19" s="11"/>
      <c r="V19" s="11"/>
      <c r="W19" s="11"/>
      <c r="X19" s="22" t="str">
        <f t="shared" si="0"/>
        <v/>
      </c>
      <c r="Y19" s="22" t="e">
        <f t="shared" si="1"/>
        <v>#N/A</v>
      </c>
      <c r="Z19" s="22" t="e">
        <f t="shared" si="1"/>
        <v>#N/A</v>
      </c>
      <c r="AA19" s="23" t="e">
        <f t="shared" si="2"/>
        <v>#DIV/0!</v>
      </c>
      <c r="AB19" s="22" t="str">
        <f t="shared" si="3"/>
        <v/>
      </c>
      <c r="AC19" s="30" t="str">
        <f t="shared" si="4"/>
        <v/>
      </c>
      <c r="AD19" s="61"/>
    </row>
    <row r="20" spans="1:30" x14ac:dyDescent="0.25">
      <c r="A20" s="14" t="s">
        <v>74</v>
      </c>
      <c r="B20" s="14">
        <v>144</v>
      </c>
      <c r="C20" s="14">
        <v>138.1</v>
      </c>
      <c r="D20" s="14">
        <v>142.5</v>
      </c>
      <c r="E20" s="14">
        <v>147</v>
      </c>
      <c r="F20" s="14">
        <v>151.9</v>
      </c>
      <c r="G20" s="14">
        <v>157</v>
      </c>
      <c r="H20" s="14">
        <v>161.5</v>
      </c>
      <c r="I20" s="14">
        <v>166</v>
      </c>
      <c r="J20" s="14">
        <v>29.09</v>
      </c>
      <c r="K20" s="14">
        <v>32.770000000000003</v>
      </c>
      <c r="L20" s="14">
        <v>37.03</v>
      </c>
      <c r="M20" s="14">
        <v>42.49</v>
      </c>
      <c r="N20" s="14">
        <v>48.86</v>
      </c>
      <c r="O20" s="14">
        <v>55.5</v>
      </c>
      <c r="P20" s="14">
        <v>63.04</v>
      </c>
      <c r="Q20" s="11" t="s">
        <v>107</v>
      </c>
      <c r="R20" s="11" t="s">
        <v>46</v>
      </c>
      <c r="S20" s="11"/>
      <c r="T20" s="11"/>
      <c r="U20" s="11"/>
      <c r="V20" s="11"/>
      <c r="W20" s="11"/>
      <c r="X20" s="22" t="str">
        <f t="shared" si="0"/>
        <v/>
      </c>
      <c r="Y20" s="22" t="e">
        <f t="shared" si="1"/>
        <v>#N/A</v>
      </c>
      <c r="Z20" s="22" t="e">
        <f t="shared" si="1"/>
        <v>#N/A</v>
      </c>
      <c r="AA20" s="23" t="e">
        <f t="shared" si="2"/>
        <v>#DIV/0!</v>
      </c>
      <c r="AB20" s="22" t="str">
        <f t="shared" si="3"/>
        <v/>
      </c>
      <c r="AC20" s="30" t="str">
        <f t="shared" si="4"/>
        <v/>
      </c>
      <c r="AD20" s="61"/>
    </row>
    <row r="21" spans="1:30" x14ac:dyDescent="0.25">
      <c r="A21" s="14" t="s">
        <v>75</v>
      </c>
      <c r="B21" s="14">
        <v>150</v>
      </c>
      <c r="C21" s="14">
        <v>141.1</v>
      </c>
      <c r="D21" s="14">
        <v>145.69999999999999</v>
      </c>
      <c r="E21" s="14">
        <v>150.4</v>
      </c>
      <c r="F21" s="14">
        <v>155.6</v>
      </c>
      <c r="G21" s="14">
        <v>160.80000000000001</v>
      </c>
      <c r="H21" s="14">
        <v>165.5</v>
      </c>
      <c r="I21" s="14">
        <v>170.2</v>
      </c>
      <c r="J21" s="14">
        <v>30.74</v>
      </c>
      <c r="K21" s="14">
        <v>34.71</v>
      </c>
      <c r="L21" s="14">
        <v>39.29</v>
      </c>
      <c r="M21" s="14">
        <v>45.13</v>
      </c>
      <c r="N21" s="14">
        <v>51.89</v>
      </c>
      <c r="O21" s="14">
        <v>58.9</v>
      </c>
      <c r="P21" s="14">
        <v>66.81</v>
      </c>
      <c r="Q21" s="11" t="s">
        <v>107</v>
      </c>
      <c r="R21" s="11" t="s">
        <v>46</v>
      </c>
      <c r="S21" s="11"/>
      <c r="T21" s="11"/>
      <c r="U21" s="11"/>
      <c r="V21" s="11"/>
      <c r="W21" s="11"/>
      <c r="X21" s="22" t="str">
        <f t="shared" si="0"/>
        <v/>
      </c>
      <c r="Y21" s="22" t="e">
        <f t="shared" si="1"/>
        <v>#N/A</v>
      </c>
      <c r="Z21" s="22" t="e">
        <f t="shared" si="1"/>
        <v>#N/A</v>
      </c>
      <c r="AA21" s="23" t="e">
        <f t="shared" si="2"/>
        <v>#DIV/0!</v>
      </c>
      <c r="AB21" s="22" t="str">
        <f t="shared" si="3"/>
        <v/>
      </c>
      <c r="AC21" s="30" t="str">
        <f t="shared" si="4"/>
        <v/>
      </c>
      <c r="AD21" s="61"/>
    </row>
    <row r="22" spans="1:30" x14ac:dyDescent="0.25">
      <c r="A22" s="14" t="s">
        <v>76</v>
      </c>
      <c r="B22" s="14">
        <v>156</v>
      </c>
      <c r="C22" s="14">
        <v>145</v>
      </c>
      <c r="D22" s="14">
        <v>149.6</v>
      </c>
      <c r="E22" s="14">
        <v>154.30000000000001</v>
      </c>
      <c r="F22" s="14">
        <v>159.5</v>
      </c>
      <c r="G22" s="14">
        <v>164.8</v>
      </c>
      <c r="H22" s="14">
        <v>169.5</v>
      </c>
      <c r="I22" s="14">
        <v>174.2</v>
      </c>
      <c r="J22" s="14">
        <v>32.82</v>
      </c>
      <c r="K22" s="14">
        <v>37.04</v>
      </c>
      <c r="L22" s="14">
        <v>41.9</v>
      </c>
      <c r="M22" s="14">
        <v>48.08</v>
      </c>
      <c r="N22" s="14">
        <v>55.21</v>
      </c>
      <c r="O22" s="14">
        <v>62.57</v>
      </c>
      <c r="P22" s="14">
        <v>70.83</v>
      </c>
      <c r="Q22" s="11" t="s">
        <v>107</v>
      </c>
      <c r="R22" s="11" t="s">
        <v>46</v>
      </c>
      <c r="S22" s="11"/>
      <c r="T22" s="11"/>
      <c r="U22" s="11"/>
      <c r="V22" s="11"/>
      <c r="W22" s="11"/>
      <c r="X22" s="22" t="str">
        <f t="shared" si="0"/>
        <v/>
      </c>
      <c r="Y22" s="22" t="e">
        <f t="shared" si="1"/>
        <v>#N/A</v>
      </c>
      <c r="Z22" s="22" t="e">
        <f t="shared" si="1"/>
        <v>#N/A</v>
      </c>
      <c r="AA22" s="23" t="e">
        <f t="shared" si="2"/>
        <v>#DIV/0!</v>
      </c>
      <c r="AB22" s="22" t="str">
        <f t="shared" si="3"/>
        <v/>
      </c>
      <c r="AC22" s="30" t="str">
        <f t="shared" si="4"/>
        <v/>
      </c>
      <c r="AD22" s="61"/>
    </row>
    <row r="23" spans="1:30" x14ac:dyDescent="0.25">
      <c r="A23" s="14" t="s">
        <v>77</v>
      </c>
      <c r="B23" s="14">
        <v>162</v>
      </c>
      <c r="C23" s="14">
        <v>148.80000000000001</v>
      </c>
      <c r="D23" s="14">
        <v>153.30000000000001</v>
      </c>
      <c r="E23" s="14">
        <v>157.9</v>
      </c>
      <c r="F23" s="14">
        <v>163</v>
      </c>
      <c r="G23" s="14">
        <v>168.1</v>
      </c>
      <c r="H23" s="14">
        <v>172.7</v>
      </c>
      <c r="I23" s="14">
        <v>177.2</v>
      </c>
      <c r="J23" s="14">
        <v>35.03</v>
      </c>
      <c r="K23" s="14">
        <v>39.42</v>
      </c>
      <c r="L23" s="14">
        <v>44.45</v>
      </c>
      <c r="M23" s="14">
        <v>50.85</v>
      </c>
      <c r="N23" s="14">
        <v>58.21</v>
      </c>
      <c r="O23" s="14">
        <v>65.8</v>
      </c>
      <c r="P23" s="14">
        <v>74.33</v>
      </c>
      <c r="Q23" s="11" t="s">
        <v>107</v>
      </c>
      <c r="R23" s="11" t="s">
        <v>46</v>
      </c>
      <c r="S23" s="11"/>
      <c r="T23" s="11"/>
      <c r="U23" s="11"/>
      <c r="V23" s="11"/>
      <c r="W23" s="11"/>
      <c r="X23" s="22" t="str">
        <f t="shared" si="0"/>
        <v/>
      </c>
      <c r="Y23" s="22" t="e">
        <f t="shared" si="1"/>
        <v>#N/A</v>
      </c>
      <c r="Z23" s="22" t="e">
        <f t="shared" si="1"/>
        <v>#N/A</v>
      </c>
      <c r="AA23" s="23" t="e">
        <f t="shared" si="2"/>
        <v>#DIV/0!</v>
      </c>
      <c r="AB23" s="22" t="str">
        <f t="shared" si="3"/>
        <v/>
      </c>
      <c r="AC23" s="30" t="str">
        <f t="shared" si="4"/>
        <v/>
      </c>
      <c r="AD23" s="61"/>
    </row>
    <row r="24" spans="1:30" x14ac:dyDescent="0.25">
      <c r="A24" s="14" t="s">
        <v>78</v>
      </c>
      <c r="B24" s="14">
        <v>168</v>
      </c>
      <c r="C24" s="14">
        <v>152.30000000000001</v>
      </c>
      <c r="D24" s="14">
        <v>156.69999999999999</v>
      </c>
      <c r="E24" s="14">
        <v>161</v>
      </c>
      <c r="F24" s="14">
        <v>165.9</v>
      </c>
      <c r="G24" s="14">
        <v>170.7</v>
      </c>
      <c r="H24" s="14">
        <v>175.1</v>
      </c>
      <c r="I24" s="14">
        <v>179.4</v>
      </c>
      <c r="J24" s="14">
        <v>37.36</v>
      </c>
      <c r="K24" s="14">
        <v>41.8</v>
      </c>
      <c r="L24" s="14">
        <v>46.9</v>
      </c>
      <c r="M24" s="14">
        <v>53.37</v>
      </c>
      <c r="N24" s="14">
        <v>60.83</v>
      </c>
      <c r="O24" s="14">
        <v>68.53</v>
      </c>
      <c r="P24" s="14">
        <v>77.2</v>
      </c>
      <c r="Q24" s="11" t="s">
        <v>107</v>
      </c>
      <c r="R24" s="11" t="s">
        <v>46</v>
      </c>
      <c r="S24" s="11"/>
      <c r="T24" s="11"/>
      <c r="U24" s="11"/>
      <c r="V24" s="11"/>
      <c r="W24" s="11"/>
      <c r="X24" s="22" t="str">
        <f t="shared" si="0"/>
        <v/>
      </c>
      <c r="Y24" s="22" t="e">
        <f t="shared" si="1"/>
        <v>#N/A</v>
      </c>
      <c r="Z24" s="22" t="e">
        <f t="shared" si="1"/>
        <v>#N/A</v>
      </c>
      <c r="AA24" s="23" t="e">
        <f t="shared" si="2"/>
        <v>#DIV/0!</v>
      </c>
      <c r="AB24" s="22" t="str">
        <f t="shared" si="3"/>
        <v/>
      </c>
      <c r="AC24" s="30" t="str">
        <f t="shared" si="4"/>
        <v/>
      </c>
      <c r="AD24" s="61"/>
    </row>
    <row r="25" spans="1:30" x14ac:dyDescent="0.25">
      <c r="A25" s="14" t="s">
        <v>79</v>
      </c>
      <c r="B25" s="14">
        <v>174</v>
      </c>
      <c r="C25" s="14">
        <v>155.30000000000001</v>
      </c>
      <c r="D25" s="14">
        <v>159.4</v>
      </c>
      <c r="E25" s="14">
        <v>163.6</v>
      </c>
      <c r="F25" s="14">
        <v>168.2</v>
      </c>
      <c r="G25" s="14">
        <v>172.8</v>
      </c>
      <c r="H25" s="14">
        <v>176.9</v>
      </c>
      <c r="I25" s="14">
        <v>181</v>
      </c>
      <c r="J25" s="14">
        <v>39.53</v>
      </c>
      <c r="K25" s="14">
        <v>43.94</v>
      </c>
      <c r="L25" s="14">
        <v>49</v>
      </c>
      <c r="M25" s="14">
        <v>55.43</v>
      </c>
      <c r="N25" s="14">
        <v>62.86</v>
      </c>
      <c r="O25" s="14">
        <v>70.55</v>
      </c>
      <c r="P25" s="14">
        <v>79.239999999999995</v>
      </c>
      <c r="Q25" s="11" t="s">
        <v>107</v>
      </c>
      <c r="R25" s="11" t="s">
        <v>46</v>
      </c>
      <c r="S25" s="11"/>
      <c r="T25" s="11"/>
      <c r="U25" s="11"/>
      <c r="V25" s="11"/>
      <c r="W25" s="11"/>
      <c r="X25" s="22" t="str">
        <f t="shared" si="0"/>
        <v/>
      </c>
      <c r="Y25" s="22" t="e">
        <f t="shared" si="1"/>
        <v>#N/A</v>
      </c>
      <c r="Z25" s="22" t="e">
        <f t="shared" si="1"/>
        <v>#N/A</v>
      </c>
      <c r="AA25" s="23" t="e">
        <f t="shared" si="2"/>
        <v>#DIV/0!</v>
      </c>
      <c r="AB25" s="22" t="str">
        <f t="shared" si="3"/>
        <v/>
      </c>
      <c r="AC25" s="30" t="str">
        <f t="shared" si="4"/>
        <v/>
      </c>
      <c r="AD25" s="61"/>
    </row>
    <row r="26" spans="1:30" x14ac:dyDescent="0.25">
      <c r="A26" s="14" t="s">
        <v>80</v>
      </c>
      <c r="B26" s="14">
        <v>180</v>
      </c>
      <c r="C26" s="14">
        <v>157.5</v>
      </c>
      <c r="D26" s="14">
        <v>161.4</v>
      </c>
      <c r="E26" s="14">
        <v>165.4</v>
      </c>
      <c r="F26" s="14">
        <v>169.8</v>
      </c>
      <c r="G26" s="14">
        <v>174.2</v>
      </c>
      <c r="H26" s="14">
        <v>178.2</v>
      </c>
      <c r="I26" s="14">
        <v>182</v>
      </c>
      <c r="J26" s="14">
        <v>41.43</v>
      </c>
      <c r="K26" s="14">
        <v>45.77</v>
      </c>
      <c r="L26" s="14">
        <v>50.75</v>
      </c>
      <c r="M26" s="14">
        <v>57.08</v>
      </c>
      <c r="N26" s="14">
        <v>64.400000000000006</v>
      </c>
      <c r="O26" s="14">
        <v>72</v>
      </c>
      <c r="P26" s="14">
        <v>80.599999999999994</v>
      </c>
      <c r="Q26" s="11" t="s">
        <v>107</v>
      </c>
      <c r="R26" s="11" t="s">
        <v>46</v>
      </c>
      <c r="S26" s="11"/>
      <c r="T26" s="11"/>
      <c r="U26" s="11"/>
      <c r="V26" s="11"/>
      <c r="W26" s="11"/>
      <c r="X26" s="22" t="str">
        <f t="shared" si="0"/>
        <v/>
      </c>
      <c r="Y26" s="22" t="e">
        <f t="shared" si="1"/>
        <v>#N/A</v>
      </c>
      <c r="Z26" s="22" t="e">
        <f t="shared" si="1"/>
        <v>#N/A</v>
      </c>
      <c r="AA26" s="23" t="e">
        <f t="shared" si="2"/>
        <v>#DIV/0!</v>
      </c>
      <c r="AB26" s="22" t="str">
        <f t="shared" si="3"/>
        <v/>
      </c>
      <c r="AC26" s="30" t="str">
        <f t="shared" si="4"/>
        <v/>
      </c>
      <c r="AD26" s="61"/>
    </row>
    <row r="27" spans="1:30" x14ac:dyDescent="0.25">
      <c r="A27" s="14" t="s">
        <v>81</v>
      </c>
      <c r="B27" s="14">
        <v>186</v>
      </c>
      <c r="C27" s="14">
        <v>159.1</v>
      </c>
      <c r="D27" s="14">
        <v>162.9</v>
      </c>
      <c r="E27" s="14">
        <v>166.7</v>
      </c>
      <c r="F27" s="14">
        <v>171</v>
      </c>
      <c r="G27" s="14">
        <v>175.2</v>
      </c>
      <c r="H27" s="14">
        <v>179.1</v>
      </c>
      <c r="I27" s="14">
        <v>182.8</v>
      </c>
      <c r="J27" s="14">
        <v>43.05</v>
      </c>
      <c r="K27" s="14">
        <v>47.31</v>
      </c>
      <c r="L27" s="14">
        <v>52.19</v>
      </c>
      <c r="M27" s="14">
        <v>58.39</v>
      </c>
      <c r="N27" s="14">
        <v>65.569999999999993</v>
      </c>
      <c r="O27" s="14">
        <v>73.03</v>
      </c>
      <c r="P27" s="14">
        <v>81.489999999999995</v>
      </c>
      <c r="Q27" s="11" t="s">
        <v>107</v>
      </c>
      <c r="R27" s="11" t="s">
        <v>46</v>
      </c>
      <c r="S27" s="11"/>
      <c r="T27" s="11"/>
      <c r="U27" s="11"/>
      <c r="V27" s="11"/>
      <c r="W27" s="11"/>
      <c r="X27" s="22" t="str">
        <f t="shared" si="0"/>
        <v/>
      </c>
      <c r="Y27" s="22" t="e">
        <f t="shared" si="1"/>
        <v>#N/A</v>
      </c>
      <c r="Z27" s="22" t="e">
        <f t="shared" si="1"/>
        <v>#N/A</v>
      </c>
      <c r="AA27" s="23" t="e">
        <f t="shared" si="2"/>
        <v>#DIV/0!</v>
      </c>
      <c r="AB27" s="22" t="str">
        <f t="shared" si="3"/>
        <v/>
      </c>
      <c r="AC27" s="30" t="str">
        <f t="shared" si="4"/>
        <v/>
      </c>
      <c r="AD27" s="61"/>
    </row>
    <row r="28" spans="1:30" x14ac:dyDescent="0.25">
      <c r="A28" s="14" t="s">
        <v>82</v>
      </c>
      <c r="B28" s="14">
        <v>192</v>
      </c>
      <c r="C28" s="14">
        <v>159.9</v>
      </c>
      <c r="D28" s="14">
        <v>163.6</v>
      </c>
      <c r="E28" s="14">
        <v>167.4</v>
      </c>
      <c r="F28" s="14">
        <v>171.6</v>
      </c>
      <c r="G28" s="14">
        <v>175.8</v>
      </c>
      <c r="H28" s="14">
        <v>179.5</v>
      </c>
      <c r="I28" s="14">
        <v>183.2</v>
      </c>
      <c r="J28" s="14">
        <v>44.28</v>
      </c>
      <c r="K28" s="14">
        <v>48.47</v>
      </c>
      <c r="L28" s="14">
        <v>53.26</v>
      </c>
      <c r="M28" s="14">
        <v>59.35</v>
      </c>
      <c r="N28" s="14">
        <v>66.400000000000006</v>
      </c>
      <c r="O28" s="14">
        <v>73.73</v>
      </c>
      <c r="P28" s="14">
        <v>82.05</v>
      </c>
      <c r="Q28" s="11" t="s">
        <v>107</v>
      </c>
      <c r="R28" s="11" t="s">
        <v>46</v>
      </c>
      <c r="S28" s="11"/>
      <c r="T28" s="11"/>
      <c r="U28" s="11"/>
      <c r="V28" s="11"/>
      <c r="W28" s="11"/>
      <c r="X28" s="22" t="str">
        <f t="shared" si="0"/>
        <v/>
      </c>
      <c r="Y28" s="22" t="e">
        <f t="shared" si="1"/>
        <v>#N/A</v>
      </c>
      <c r="Z28" s="22" t="e">
        <f t="shared" si="1"/>
        <v>#N/A</v>
      </c>
      <c r="AA28" s="23" t="e">
        <f t="shared" si="2"/>
        <v>#DIV/0!</v>
      </c>
      <c r="AB28" s="22" t="str">
        <f t="shared" si="3"/>
        <v/>
      </c>
      <c r="AC28" s="30" t="str">
        <f t="shared" si="4"/>
        <v/>
      </c>
      <c r="AD28" s="61"/>
    </row>
    <row r="29" spans="1:30" x14ac:dyDescent="0.25">
      <c r="A29" s="14" t="s">
        <v>83</v>
      </c>
      <c r="B29" s="14">
        <v>198</v>
      </c>
      <c r="C29" s="14">
        <v>160.5</v>
      </c>
      <c r="D29" s="14">
        <v>164.2</v>
      </c>
      <c r="E29" s="14">
        <v>167.9</v>
      </c>
      <c r="F29" s="14">
        <v>172.1</v>
      </c>
      <c r="G29" s="14">
        <v>176.2</v>
      </c>
      <c r="H29" s="14">
        <v>179.9</v>
      </c>
      <c r="I29" s="14">
        <v>183.5</v>
      </c>
      <c r="J29" s="14">
        <v>45.3</v>
      </c>
      <c r="K29" s="14">
        <v>49.42</v>
      </c>
      <c r="L29" s="14">
        <v>54.13</v>
      </c>
      <c r="M29" s="14">
        <v>60.12</v>
      </c>
      <c r="N29" s="14">
        <v>67.05</v>
      </c>
      <c r="O29" s="14">
        <v>74.25</v>
      </c>
      <c r="P29" s="14">
        <v>82.44</v>
      </c>
      <c r="Q29" s="11" t="s">
        <v>107</v>
      </c>
      <c r="R29" s="11" t="s">
        <v>46</v>
      </c>
      <c r="S29" s="11"/>
      <c r="T29" s="11"/>
      <c r="U29" s="11"/>
      <c r="V29" s="11"/>
      <c r="W29" s="11"/>
      <c r="X29" s="22" t="str">
        <f t="shared" si="0"/>
        <v/>
      </c>
      <c r="Y29" s="22" t="e">
        <f t="shared" si="1"/>
        <v>#N/A</v>
      </c>
      <c r="Z29" s="22" t="e">
        <f t="shared" si="1"/>
        <v>#N/A</v>
      </c>
      <c r="AA29" s="23" t="e">
        <f t="shared" si="2"/>
        <v>#DIV/0!</v>
      </c>
      <c r="AB29" s="22" t="str">
        <f t="shared" si="3"/>
        <v/>
      </c>
      <c r="AC29" s="30" t="str">
        <f t="shared" si="4"/>
        <v/>
      </c>
      <c r="AD29" s="61"/>
    </row>
    <row r="30" spans="1:30" x14ac:dyDescent="0.25">
      <c r="A30" s="14" t="s">
        <v>84</v>
      </c>
      <c r="B30" s="14">
        <v>204</v>
      </c>
      <c r="C30" s="14">
        <v>160.9</v>
      </c>
      <c r="D30" s="14">
        <v>164.5</v>
      </c>
      <c r="E30" s="14">
        <v>168.2</v>
      </c>
      <c r="F30" s="14">
        <v>172.3</v>
      </c>
      <c r="G30" s="14">
        <v>176.4</v>
      </c>
      <c r="H30" s="14">
        <v>180.1</v>
      </c>
      <c r="I30" s="14">
        <v>183.7</v>
      </c>
      <c r="J30" s="14">
        <v>46.04</v>
      </c>
      <c r="K30" s="14">
        <v>50.11</v>
      </c>
      <c r="L30" s="14">
        <v>54.73</v>
      </c>
      <c r="M30" s="14">
        <v>60.68</v>
      </c>
      <c r="N30" s="14">
        <v>67.510000000000005</v>
      </c>
      <c r="O30" s="14">
        <v>74.62</v>
      </c>
      <c r="P30" s="14">
        <v>82.7</v>
      </c>
      <c r="Q30" s="11" t="s">
        <v>107</v>
      </c>
      <c r="R30" s="11" t="s">
        <v>46</v>
      </c>
      <c r="S30" s="11"/>
      <c r="T30" s="11"/>
      <c r="U30" s="11"/>
      <c r="V30" s="11"/>
      <c r="W30" s="11"/>
      <c r="X30" s="22" t="str">
        <f t="shared" si="0"/>
        <v/>
      </c>
      <c r="Y30" s="22" t="e">
        <f t="shared" si="1"/>
        <v>#N/A</v>
      </c>
      <c r="Z30" s="22" t="e">
        <f t="shared" si="1"/>
        <v>#N/A</v>
      </c>
      <c r="AA30" s="23" t="e">
        <f t="shared" si="2"/>
        <v>#DIV/0!</v>
      </c>
      <c r="AB30" s="22" t="str">
        <f t="shared" si="3"/>
        <v/>
      </c>
      <c r="AC30" s="30" t="str">
        <f t="shared" si="4"/>
        <v/>
      </c>
      <c r="AD30" s="61"/>
    </row>
    <row r="31" spans="1:30" ht="14.4" thickBot="1" x14ac:dyDescent="0.3">
      <c r="A31" s="14" t="s">
        <v>85</v>
      </c>
      <c r="B31" s="55">
        <v>216</v>
      </c>
      <c r="C31" s="14">
        <v>161.30000000000001</v>
      </c>
      <c r="D31" s="14">
        <v>164.9</v>
      </c>
      <c r="E31" s="14">
        <v>168.6</v>
      </c>
      <c r="F31" s="14">
        <v>172.7</v>
      </c>
      <c r="G31" s="14">
        <v>176.7</v>
      </c>
      <c r="H31" s="14">
        <v>180.4</v>
      </c>
      <c r="I31" s="14">
        <v>183.9</v>
      </c>
      <c r="J31" s="14">
        <v>47.01</v>
      </c>
      <c r="K31" s="14">
        <v>51.02</v>
      </c>
      <c r="L31" s="14">
        <v>55.6</v>
      </c>
      <c r="M31" s="14">
        <v>61.4</v>
      </c>
      <c r="N31" s="14">
        <v>68.11</v>
      </c>
      <c r="O31" s="14">
        <v>75.08</v>
      </c>
      <c r="P31" s="14">
        <v>83</v>
      </c>
      <c r="Q31" s="11" t="s">
        <v>107</v>
      </c>
      <c r="R31" s="11" t="s">
        <v>46</v>
      </c>
      <c r="S31" s="11"/>
      <c r="T31" s="11"/>
      <c r="U31" s="11"/>
      <c r="V31" s="11"/>
      <c r="W31" s="11"/>
      <c r="X31" s="22" t="str">
        <f t="shared" si="0"/>
        <v/>
      </c>
      <c r="Y31" s="22" t="e">
        <f t="shared" si="1"/>
        <v>#N/A</v>
      </c>
      <c r="Z31" s="22" t="e">
        <f t="shared" si="1"/>
        <v>#N/A</v>
      </c>
      <c r="AA31" s="23" t="e">
        <f t="shared" si="2"/>
        <v>#DIV/0!</v>
      </c>
      <c r="AB31" s="22" t="str">
        <f t="shared" si="3"/>
        <v/>
      </c>
      <c r="AC31" s="30" t="str">
        <f t="shared" si="4"/>
        <v/>
      </c>
      <c r="AD31" s="62"/>
    </row>
    <row r="32" spans="1:30" ht="15" x14ac:dyDescent="0.25">
      <c r="Y32" s="54"/>
      <c r="Z32" s="54"/>
    </row>
    <row r="33" spans="25:26" ht="15" x14ac:dyDescent="0.25">
      <c r="Y33" s="54"/>
      <c r="Z33" s="54"/>
    </row>
    <row r="34" spans="25:26" ht="15" x14ac:dyDescent="0.25">
      <c r="Y34" s="54"/>
      <c r="Z34" s="54"/>
    </row>
    <row r="35" spans="25:26" ht="15" x14ac:dyDescent="0.25">
      <c r="Y35" s="54"/>
      <c r="Z35" s="54"/>
    </row>
    <row r="36" spans="25:26" ht="15" x14ac:dyDescent="0.25">
      <c r="Y36" s="54"/>
      <c r="Z36" s="54"/>
    </row>
    <row r="37" spans="25:26" ht="15" x14ac:dyDescent="0.25">
      <c r="Y37" s="54"/>
      <c r="Z37" s="54"/>
    </row>
    <row r="38" spans="25:26" ht="15" x14ac:dyDescent="0.25">
      <c r="Y38" s="54"/>
      <c r="Z38" s="54"/>
    </row>
    <row r="39" spans="25:26" ht="15" x14ac:dyDescent="0.25">
      <c r="Y39" s="54"/>
      <c r="Z39" s="54"/>
    </row>
    <row r="40" spans="25:26" ht="15" x14ac:dyDescent="0.25">
      <c r="Y40" s="54"/>
      <c r="Z40" s="54"/>
    </row>
    <row r="41" spans="25:26" ht="15" x14ac:dyDescent="0.25">
      <c r="Y41" s="54"/>
      <c r="Z41" s="54"/>
    </row>
    <row r="42" spans="25:26" ht="15" x14ac:dyDescent="0.25">
      <c r="Y42" s="54"/>
      <c r="Z42" s="54"/>
    </row>
    <row r="43" spans="25:26" ht="15" x14ac:dyDescent="0.25">
      <c r="Y43" s="54"/>
      <c r="Z43" s="54"/>
    </row>
    <row r="44" spans="25:26" ht="15" x14ac:dyDescent="0.25">
      <c r="Y44" s="54"/>
      <c r="Z44" s="54"/>
    </row>
    <row r="45" spans="25:26" ht="15" x14ac:dyDescent="0.25">
      <c r="Y45" s="54"/>
      <c r="Z45" s="54"/>
    </row>
    <row r="46" spans="25:26" ht="15" x14ac:dyDescent="0.25">
      <c r="Y46" s="54"/>
      <c r="Z46" s="54"/>
    </row>
    <row r="47" spans="25:26" ht="15" x14ac:dyDescent="0.25">
      <c r="Y47" s="54"/>
      <c r="Z47" s="54"/>
    </row>
    <row r="48" spans="25:26" ht="15" x14ac:dyDescent="0.25">
      <c r="Y48" s="54"/>
      <c r="Z48" s="54"/>
    </row>
    <row r="49" spans="25:26" ht="15" x14ac:dyDescent="0.25">
      <c r="Y49" s="54"/>
      <c r="Z49" s="54"/>
    </row>
  </sheetData>
  <protectedRanges>
    <protectedRange algorithmName="SHA-512" hashValue="tgdTsx4/GXU4lrIPOkFdUKZKo9lbhHHoTmE3qI1FcrCuGU5gVSMbsRWC2682tZ+7UD9/K3uVJvF0XgU6XM2g/w==" saltValue="COAZPGeH3xf+qkxIxn1DIA==" spinCount="100000" sqref="Q1:Z1" name="区域2"/>
    <protectedRange algorithmName="SHA-512" hashValue="tgdTsx4/GXU4lrIPOkFdUKZKo9lbhHHoTmE3qI1FcrCuGU5gVSMbsRWC2682tZ+7UD9/K3uVJvF0XgU6XM2g/w==" saltValue="COAZPGeH3xf+qkxIxn1DIA==" spinCount="100000" sqref="X2" name="区域2_5"/>
    <protectedRange algorithmName="SHA-512" hashValue="tgdTsx4/GXU4lrIPOkFdUKZKo9lbhHHoTmE3qI1FcrCuGU5gVSMbsRWC2682tZ+7UD9/K3uVJvF0XgU6XM2g/w==" saltValue="COAZPGeH3xf+qkxIxn1DIA==" spinCount="100000" sqref="X3" name="区域2_5_1"/>
    <protectedRange algorithmName="SHA-512" hashValue="tgdTsx4/GXU4lrIPOkFdUKZKo9lbhHHoTmE3qI1FcrCuGU5gVSMbsRWC2682tZ+7UD9/K3uVJvF0XgU6XM2g/w==" saltValue="COAZPGeH3xf+qkxIxn1DIA==" spinCount="100000" sqref="X4" name="区域2_5_2"/>
    <protectedRange algorithmName="SHA-512" hashValue="tgdTsx4/GXU4lrIPOkFdUKZKo9lbhHHoTmE3qI1FcrCuGU5gVSMbsRWC2682tZ+7UD9/K3uVJvF0XgU6XM2g/w==" saltValue="COAZPGeH3xf+qkxIxn1DIA==" spinCount="100000" sqref="X5" name="区域2_5_3"/>
    <protectedRange algorithmName="SHA-512" hashValue="tgdTsx4/GXU4lrIPOkFdUKZKo9lbhHHoTmE3qI1FcrCuGU5gVSMbsRWC2682tZ+7UD9/K3uVJvF0XgU6XM2g/w==" saltValue="COAZPGeH3xf+qkxIxn1DIA==" spinCount="100000" sqref="X6" name="区域2_5_4"/>
    <protectedRange algorithmName="SHA-512" hashValue="tgdTsx4/GXU4lrIPOkFdUKZKo9lbhHHoTmE3qI1FcrCuGU5gVSMbsRWC2682tZ+7UD9/K3uVJvF0XgU6XM2g/w==" saltValue="COAZPGeH3xf+qkxIxn1DIA==" spinCount="100000" sqref="X7" name="区域2_5_5"/>
    <protectedRange algorithmName="SHA-512" hashValue="tgdTsx4/GXU4lrIPOkFdUKZKo9lbhHHoTmE3qI1FcrCuGU5gVSMbsRWC2682tZ+7UD9/K3uVJvF0XgU6XM2g/w==" saltValue="COAZPGeH3xf+qkxIxn1DIA==" spinCount="100000" sqref="X8" name="区域2_5_6"/>
    <protectedRange algorithmName="SHA-512" hashValue="tgdTsx4/GXU4lrIPOkFdUKZKo9lbhHHoTmE3qI1FcrCuGU5gVSMbsRWC2682tZ+7UD9/K3uVJvF0XgU6XM2g/w==" saltValue="COAZPGeH3xf+qkxIxn1DIA==" spinCount="100000" sqref="X9" name="区域2_5_7"/>
    <protectedRange algorithmName="SHA-512" hashValue="tgdTsx4/GXU4lrIPOkFdUKZKo9lbhHHoTmE3qI1FcrCuGU5gVSMbsRWC2682tZ+7UD9/K3uVJvF0XgU6XM2g/w==" saltValue="COAZPGeH3xf+qkxIxn1DIA==" spinCount="100000" sqref="X10" name="区域2_5_8"/>
    <protectedRange algorithmName="SHA-512" hashValue="tgdTsx4/GXU4lrIPOkFdUKZKo9lbhHHoTmE3qI1FcrCuGU5gVSMbsRWC2682tZ+7UD9/K3uVJvF0XgU6XM2g/w==" saltValue="COAZPGeH3xf+qkxIxn1DIA==" spinCount="100000" sqref="X11" name="区域2_5_9"/>
    <protectedRange algorithmName="SHA-512" hashValue="tgdTsx4/GXU4lrIPOkFdUKZKo9lbhHHoTmE3qI1FcrCuGU5gVSMbsRWC2682tZ+7UD9/K3uVJvF0XgU6XM2g/w==" saltValue="COAZPGeH3xf+qkxIxn1DIA==" spinCount="100000" sqref="X12" name="区域2_5_10"/>
    <protectedRange algorithmName="SHA-512" hashValue="tgdTsx4/GXU4lrIPOkFdUKZKo9lbhHHoTmE3qI1FcrCuGU5gVSMbsRWC2682tZ+7UD9/K3uVJvF0XgU6XM2g/w==" saltValue="COAZPGeH3xf+qkxIxn1DIA==" spinCount="100000" sqref="X13" name="区域2_5_11"/>
    <protectedRange algorithmName="SHA-512" hashValue="tgdTsx4/GXU4lrIPOkFdUKZKo9lbhHHoTmE3qI1FcrCuGU5gVSMbsRWC2682tZ+7UD9/K3uVJvF0XgU6XM2g/w==" saltValue="COAZPGeH3xf+qkxIxn1DIA==" spinCount="100000" sqref="X14" name="区域2_5_12"/>
    <protectedRange algorithmName="SHA-512" hashValue="tgdTsx4/GXU4lrIPOkFdUKZKo9lbhHHoTmE3qI1FcrCuGU5gVSMbsRWC2682tZ+7UD9/K3uVJvF0XgU6XM2g/w==" saltValue="COAZPGeH3xf+qkxIxn1DIA==" spinCount="100000" sqref="X15" name="区域2_5_13"/>
    <protectedRange algorithmName="SHA-512" hashValue="tgdTsx4/GXU4lrIPOkFdUKZKo9lbhHHoTmE3qI1FcrCuGU5gVSMbsRWC2682tZ+7UD9/K3uVJvF0XgU6XM2g/w==" saltValue="COAZPGeH3xf+qkxIxn1DIA==" spinCount="100000" sqref="X16" name="区域2_5_14"/>
    <protectedRange algorithmName="SHA-512" hashValue="tgdTsx4/GXU4lrIPOkFdUKZKo9lbhHHoTmE3qI1FcrCuGU5gVSMbsRWC2682tZ+7UD9/K3uVJvF0XgU6XM2g/w==" saltValue="COAZPGeH3xf+qkxIxn1DIA==" spinCount="100000" sqref="X17" name="区域2_5_15"/>
    <protectedRange algorithmName="SHA-512" hashValue="tgdTsx4/GXU4lrIPOkFdUKZKo9lbhHHoTmE3qI1FcrCuGU5gVSMbsRWC2682tZ+7UD9/K3uVJvF0XgU6XM2g/w==" saltValue="COAZPGeH3xf+qkxIxn1DIA==" spinCount="100000" sqref="X18" name="区域2_5_16"/>
    <protectedRange algorithmName="SHA-512" hashValue="tgdTsx4/GXU4lrIPOkFdUKZKo9lbhHHoTmE3qI1FcrCuGU5gVSMbsRWC2682tZ+7UD9/K3uVJvF0XgU6XM2g/w==" saltValue="COAZPGeH3xf+qkxIxn1DIA==" spinCount="100000" sqref="X19" name="区域2_5_17"/>
    <protectedRange algorithmName="SHA-512" hashValue="tgdTsx4/GXU4lrIPOkFdUKZKo9lbhHHoTmE3qI1FcrCuGU5gVSMbsRWC2682tZ+7UD9/K3uVJvF0XgU6XM2g/w==" saltValue="COAZPGeH3xf+qkxIxn1DIA==" spinCount="100000" sqref="X20" name="区域2_5_18"/>
    <protectedRange algorithmName="SHA-512" hashValue="tgdTsx4/GXU4lrIPOkFdUKZKo9lbhHHoTmE3qI1FcrCuGU5gVSMbsRWC2682tZ+7UD9/K3uVJvF0XgU6XM2g/w==" saltValue="COAZPGeH3xf+qkxIxn1DIA==" spinCount="100000" sqref="X21" name="区域2_5_19"/>
    <protectedRange algorithmName="SHA-512" hashValue="tgdTsx4/GXU4lrIPOkFdUKZKo9lbhHHoTmE3qI1FcrCuGU5gVSMbsRWC2682tZ+7UD9/K3uVJvF0XgU6XM2g/w==" saltValue="COAZPGeH3xf+qkxIxn1DIA==" spinCount="100000" sqref="X22" name="区域2_5_20"/>
    <protectedRange algorithmName="SHA-512" hashValue="tgdTsx4/GXU4lrIPOkFdUKZKo9lbhHHoTmE3qI1FcrCuGU5gVSMbsRWC2682tZ+7UD9/K3uVJvF0XgU6XM2g/w==" saltValue="COAZPGeH3xf+qkxIxn1DIA==" spinCount="100000" sqref="X23" name="区域2_5_21"/>
    <protectedRange algorithmName="SHA-512" hashValue="tgdTsx4/GXU4lrIPOkFdUKZKo9lbhHHoTmE3qI1FcrCuGU5gVSMbsRWC2682tZ+7UD9/K3uVJvF0XgU6XM2g/w==" saltValue="COAZPGeH3xf+qkxIxn1DIA==" spinCount="100000" sqref="X24" name="区域2_5_22"/>
    <protectedRange algorithmName="SHA-512" hashValue="tgdTsx4/GXU4lrIPOkFdUKZKo9lbhHHoTmE3qI1FcrCuGU5gVSMbsRWC2682tZ+7UD9/K3uVJvF0XgU6XM2g/w==" saltValue="COAZPGeH3xf+qkxIxn1DIA==" spinCount="100000" sqref="X25" name="区域2_5_23"/>
    <protectedRange algorithmName="SHA-512" hashValue="tgdTsx4/GXU4lrIPOkFdUKZKo9lbhHHoTmE3qI1FcrCuGU5gVSMbsRWC2682tZ+7UD9/K3uVJvF0XgU6XM2g/w==" saltValue="COAZPGeH3xf+qkxIxn1DIA==" spinCount="100000" sqref="X26" name="区域2_5_24"/>
    <protectedRange algorithmName="SHA-512" hashValue="tgdTsx4/GXU4lrIPOkFdUKZKo9lbhHHoTmE3qI1FcrCuGU5gVSMbsRWC2682tZ+7UD9/K3uVJvF0XgU6XM2g/w==" saltValue="COAZPGeH3xf+qkxIxn1DIA==" spinCount="100000" sqref="X27" name="区域2_5_25"/>
    <protectedRange algorithmName="SHA-512" hashValue="tgdTsx4/GXU4lrIPOkFdUKZKo9lbhHHoTmE3qI1FcrCuGU5gVSMbsRWC2682tZ+7UD9/K3uVJvF0XgU6XM2g/w==" saltValue="COAZPGeH3xf+qkxIxn1DIA==" spinCount="100000" sqref="Y2:Y31" name="区域2_3"/>
    <protectedRange algorithmName="SHA-512" hashValue="tgdTsx4/GXU4lrIPOkFdUKZKo9lbhHHoTmE3qI1FcrCuGU5gVSMbsRWC2682tZ+7UD9/K3uVJvF0XgU6XM2g/w==" saltValue="COAZPGeH3xf+qkxIxn1DIA==" spinCount="100000" sqref="Z2:Z31" name="区域2_4"/>
  </protectedRanges>
  <mergeCells count="1">
    <mergeCell ref="AD2:AD31"/>
  </mergeCells>
  <phoneticPr fontId="1" type="noConversion"/>
  <dataValidations count="2">
    <dataValidation type="list" allowBlank="1" showInputMessage="1" showErrorMessage="1" sqref="R2:R31" xr:uid="{56FD6B81-DA8A-4DCF-AA1C-4F64B4DB40A6}">
      <formula1>"男,女"</formula1>
    </dataValidation>
    <dataValidation type="list" allowBlank="1" showInputMessage="1" showErrorMessage="1" sqref="T2:T31" xr:uid="{B0996B63-65A1-4EEA-9314-CB941C2617E0}">
      <formula1>$A$2:$A$31</formula1>
    </dataValidation>
  </dataValidations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78D5-26B3-4F41-8759-A716278151D0}">
  <sheetPr>
    <tabColor rgb="FFFF99CC"/>
  </sheetPr>
  <dimension ref="A1:AD13"/>
  <sheetViews>
    <sheetView zoomScale="85" zoomScaleNormal="85" workbookViewId="0">
      <selection activeCell="AF6" sqref="AF6"/>
    </sheetView>
  </sheetViews>
  <sheetFormatPr defaultRowHeight="13.8" x14ac:dyDescent="0.25"/>
  <cols>
    <col min="1" max="1" width="5.109375" bestFit="1" customWidth="1"/>
    <col min="2" max="2" width="4.44140625" bestFit="1" customWidth="1"/>
    <col min="3" max="3" width="4" bestFit="1" customWidth="1"/>
    <col min="4" max="7" width="4.33203125" bestFit="1" customWidth="1"/>
    <col min="8" max="9" width="4.77734375" bestFit="1" customWidth="1"/>
    <col min="10" max="16" width="6.44140625" bestFit="1" customWidth="1"/>
    <col min="17" max="17" width="5.5546875" bestFit="1" customWidth="1"/>
    <col min="18" max="18" width="4.6640625" bestFit="1" customWidth="1"/>
    <col min="27" max="27" width="7.5546875" bestFit="1" customWidth="1"/>
    <col min="28" max="29" width="8.6640625" bestFit="1" customWidth="1"/>
    <col min="30" max="30" width="25" customWidth="1"/>
  </cols>
  <sheetData>
    <row r="1" spans="1:30" ht="21.6" x14ac:dyDescent="0.25">
      <c r="A1" s="40" t="s">
        <v>0</v>
      </c>
      <c r="B1" s="41" t="s">
        <v>45</v>
      </c>
      <c r="C1" s="40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1</v>
      </c>
      <c r="K1" s="40" t="s">
        <v>2</v>
      </c>
      <c r="L1" s="40" t="s">
        <v>3</v>
      </c>
      <c r="M1" s="40" t="s">
        <v>4</v>
      </c>
      <c r="N1" s="40" t="s">
        <v>5</v>
      </c>
      <c r="O1" s="40" t="s">
        <v>6</v>
      </c>
      <c r="P1" s="40" t="s">
        <v>7</v>
      </c>
      <c r="Q1" s="42" t="s">
        <v>19</v>
      </c>
      <c r="R1" s="42" t="s">
        <v>24</v>
      </c>
      <c r="S1" s="43" t="s">
        <v>54</v>
      </c>
      <c r="T1" s="44" t="s">
        <v>28</v>
      </c>
      <c r="U1" s="44" t="s">
        <v>55</v>
      </c>
      <c r="V1" s="44" t="s">
        <v>26</v>
      </c>
      <c r="W1" s="44" t="s">
        <v>27</v>
      </c>
      <c r="X1" s="45" t="s">
        <v>20</v>
      </c>
      <c r="Y1" s="45" t="s">
        <v>21</v>
      </c>
      <c r="Z1" s="45" t="s">
        <v>22</v>
      </c>
      <c r="AA1" s="46" t="s">
        <v>89</v>
      </c>
      <c r="AB1" s="28" t="s">
        <v>88</v>
      </c>
      <c r="AC1" s="28" t="s">
        <v>87</v>
      </c>
      <c r="AD1" s="29" t="s">
        <v>86</v>
      </c>
    </row>
    <row r="2" spans="1:30" x14ac:dyDescent="0.25">
      <c r="A2" s="50" t="s">
        <v>29</v>
      </c>
      <c r="B2" s="14">
        <v>0</v>
      </c>
      <c r="C2" s="14">
        <v>46.6</v>
      </c>
      <c r="D2" s="14">
        <v>47.5</v>
      </c>
      <c r="E2" s="14">
        <v>48.6</v>
      </c>
      <c r="F2" s="14">
        <v>49.7</v>
      </c>
      <c r="G2" s="14">
        <v>50.9</v>
      </c>
      <c r="H2" s="14">
        <v>51.9</v>
      </c>
      <c r="I2" s="14">
        <v>53</v>
      </c>
      <c r="J2" s="39">
        <v>2.57</v>
      </c>
      <c r="K2" s="39">
        <v>2.76</v>
      </c>
      <c r="L2" s="39">
        <v>2.96</v>
      </c>
      <c r="M2" s="39">
        <v>3.21</v>
      </c>
      <c r="N2" s="39">
        <v>3.49</v>
      </c>
      <c r="O2" s="39">
        <v>3.75</v>
      </c>
      <c r="P2" s="39">
        <v>4.04</v>
      </c>
      <c r="Q2" s="11" t="s">
        <v>98</v>
      </c>
      <c r="R2" s="11" t="s">
        <v>97</v>
      </c>
      <c r="S2" s="47" t="s">
        <v>100</v>
      </c>
      <c r="T2" s="11" t="s">
        <v>106</v>
      </c>
      <c r="U2" s="47"/>
      <c r="V2" s="47">
        <v>57</v>
      </c>
      <c r="W2" s="47">
        <v>5.5</v>
      </c>
      <c r="X2" s="22">
        <f t="shared" ref="X2:X7" si="0">IFERROR(VLOOKUP(T2,A:B, 2, 0), "")</f>
        <v>2</v>
      </c>
      <c r="Y2" s="22">
        <f t="shared" ref="Y2:Z13" si="1">IF(ISBLANK(V2),NA(),V2)</f>
        <v>57</v>
      </c>
      <c r="Z2" s="22">
        <f t="shared" si="1"/>
        <v>5.5</v>
      </c>
      <c r="AA2" s="23">
        <f t="shared" ref="AA2:AA13" si="2">W2/POWER(V2/100,2)</f>
        <v>16.928285626346568</v>
      </c>
      <c r="AB2" s="22" t="str">
        <f>IF(IFERROR(VALUE(LEFT(T2,LEN(T2)-1))/IF(ISNUMBER(SEARCH("月",T2)),12,1),0)&gt;=2,IFERROR(VALUE(LEFT(T2,LEN(T2)-1))/IF(ISNUMBER(SEARCH("月",T2)),12,1),""),"")</f>
        <v/>
      </c>
      <c r="AC2" s="48" t="str">
        <f>IF(AB2&lt;&gt;"",ROUND(AA2,1),"")</f>
        <v/>
      </c>
      <c r="AD2" s="58" t="s">
        <v>109</v>
      </c>
    </row>
    <row r="3" spans="1:30" x14ac:dyDescent="0.25">
      <c r="A3" s="50" t="s">
        <v>99</v>
      </c>
      <c r="B3" s="14">
        <v>2</v>
      </c>
      <c r="C3" s="14">
        <v>53.4</v>
      </c>
      <c r="D3" s="14">
        <v>54.7</v>
      </c>
      <c r="E3" s="14">
        <v>56</v>
      </c>
      <c r="F3" s="14">
        <v>57.4</v>
      </c>
      <c r="G3" s="14">
        <v>58.9</v>
      </c>
      <c r="H3" s="14">
        <v>60.2</v>
      </c>
      <c r="I3" s="14">
        <v>61.6</v>
      </c>
      <c r="J3" s="39">
        <v>4.21</v>
      </c>
      <c r="K3" s="39">
        <v>4.5</v>
      </c>
      <c r="L3" s="39">
        <v>4.82</v>
      </c>
      <c r="M3" s="39">
        <v>5.21</v>
      </c>
      <c r="N3" s="39">
        <v>5.64</v>
      </c>
      <c r="O3" s="39">
        <v>6.06</v>
      </c>
      <c r="P3" s="39">
        <v>6.51</v>
      </c>
      <c r="Q3" s="49" t="s">
        <v>98</v>
      </c>
      <c r="R3" s="11" t="s">
        <v>97</v>
      </c>
      <c r="S3" s="47" t="s">
        <v>101</v>
      </c>
      <c r="T3" s="11" t="s">
        <v>42</v>
      </c>
      <c r="U3" s="47"/>
      <c r="V3" s="47">
        <v>67</v>
      </c>
      <c r="W3" s="47">
        <v>7.8</v>
      </c>
      <c r="X3" s="22">
        <f t="shared" si="0"/>
        <v>6</v>
      </c>
      <c r="Y3" s="22">
        <f t="shared" si="1"/>
        <v>67</v>
      </c>
      <c r="Z3" s="22">
        <f t="shared" si="1"/>
        <v>7.8</v>
      </c>
      <c r="AA3" s="23">
        <f t="shared" si="2"/>
        <v>17.375807529516592</v>
      </c>
      <c r="AB3" s="22" t="str">
        <f t="shared" ref="AB3:AB13" si="3">IF(IFERROR(VALUE(LEFT(T3,LEN(T3)-1))/IF(ISNUMBER(SEARCH("月",T3)),12,1),0)&gt;=2,IFERROR(VALUE(LEFT(T3,LEN(T3)-1))/IF(ISNUMBER(SEARCH("月",T3)),12,1),""),"")</f>
        <v/>
      </c>
      <c r="AC3" s="48" t="str">
        <f t="shared" ref="AC3:AC13" si="4">IF(AB3&lt;&gt;"",ROUND(AA3,1),"")</f>
        <v/>
      </c>
      <c r="AD3" s="59"/>
    </row>
    <row r="4" spans="1:30" x14ac:dyDescent="0.25">
      <c r="A4" s="50" t="s">
        <v>92</v>
      </c>
      <c r="B4" s="14">
        <v>4</v>
      </c>
      <c r="C4" s="14">
        <v>59.1</v>
      </c>
      <c r="D4" s="14">
        <v>60.3</v>
      </c>
      <c r="E4" s="14">
        <v>61.7</v>
      </c>
      <c r="F4" s="14">
        <v>63.1</v>
      </c>
      <c r="G4" s="14">
        <v>64.599999999999994</v>
      </c>
      <c r="H4" s="14">
        <v>66</v>
      </c>
      <c r="I4" s="14">
        <v>67.400000000000006</v>
      </c>
      <c r="J4" s="39">
        <v>5.55</v>
      </c>
      <c r="K4" s="39">
        <v>5.93</v>
      </c>
      <c r="L4" s="39">
        <v>6.34</v>
      </c>
      <c r="M4" s="39">
        <v>6.83</v>
      </c>
      <c r="N4" s="39">
        <v>7.37</v>
      </c>
      <c r="O4" s="39">
        <v>7.9</v>
      </c>
      <c r="P4" s="39">
        <v>8.4700000000000006</v>
      </c>
      <c r="Q4" s="49" t="s">
        <v>98</v>
      </c>
      <c r="R4" s="11" t="s">
        <v>97</v>
      </c>
      <c r="S4" s="47" t="s">
        <v>102</v>
      </c>
      <c r="T4" s="11" t="s">
        <v>39</v>
      </c>
      <c r="U4" s="47"/>
      <c r="V4" s="47">
        <v>76</v>
      </c>
      <c r="W4" s="47">
        <v>9.8000000000000007</v>
      </c>
      <c r="X4" s="22">
        <f t="shared" si="0"/>
        <v>12</v>
      </c>
      <c r="Y4" s="22">
        <f t="shared" si="1"/>
        <v>76</v>
      </c>
      <c r="Z4" s="22">
        <f t="shared" si="1"/>
        <v>9.8000000000000007</v>
      </c>
      <c r="AA4" s="23">
        <f t="shared" si="2"/>
        <v>16.966759002770083</v>
      </c>
      <c r="AB4" s="22" t="str">
        <f t="shared" si="3"/>
        <v/>
      </c>
      <c r="AC4" s="48" t="str">
        <f t="shared" si="4"/>
        <v/>
      </c>
      <c r="AD4" s="59"/>
    </row>
    <row r="5" spans="1:30" x14ac:dyDescent="0.25">
      <c r="A5" s="50" t="s">
        <v>42</v>
      </c>
      <c r="B5" s="14">
        <v>6</v>
      </c>
      <c r="C5" s="14">
        <v>62.5</v>
      </c>
      <c r="D5" s="14">
        <v>63.9</v>
      </c>
      <c r="E5" s="14">
        <v>65.2</v>
      </c>
      <c r="F5" s="14">
        <v>66.8</v>
      </c>
      <c r="G5" s="14">
        <v>68.400000000000006</v>
      </c>
      <c r="H5" s="14">
        <v>69.8</v>
      </c>
      <c r="I5" s="14">
        <v>71.2</v>
      </c>
      <c r="J5" s="39">
        <v>6.34</v>
      </c>
      <c r="K5" s="39">
        <v>6.76</v>
      </c>
      <c r="L5" s="39">
        <v>7.21</v>
      </c>
      <c r="M5" s="39">
        <v>7.77</v>
      </c>
      <c r="N5" s="39">
        <v>8.3699999999999992</v>
      </c>
      <c r="O5" s="39">
        <v>8.9600000000000009</v>
      </c>
      <c r="P5" s="39">
        <v>9.59</v>
      </c>
      <c r="Q5" s="49" t="s">
        <v>98</v>
      </c>
      <c r="R5" s="11" t="s">
        <v>97</v>
      </c>
      <c r="S5" s="47" t="s">
        <v>103</v>
      </c>
      <c r="T5" s="11" t="s">
        <v>33</v>
      </c>
      <c r="U5" s="47"/>
      <c r="V5" s="47">
        <v>88</v>
      </c>
      <c r="W5" s="47">
        <v>12</v>
      </c>
      <c r="X5" s="22">
        <f t="shared" si="0"/>
        <v>24</v>
      </c>
      <c r="Y5" s="22">
        <f t="shared" si="1"/>
        <v>88</v>
      </c>
      <c r="Z5" s="22">
        <f t="shared" si="1"/>
        <v>12</v>
      </c>
      <c r="AA5" s="23">
        <f t="shared" si="2"/>
        <v>15.495867768595042</v>
      </c>
      <c r="AB5" s="22">
        <f t="shared" si="3"/>
        <v>2</v>
      </c>
      <c r="AC5" s="48">
        <f t="shared" si="4"/>
        <v>15.5</v>
      </c>
      <c r="AD5" s="59"/>
    </row>
    <row r="6" spans="1:30" x14ac:dyDescent="0.25">
      <c r="A6" s="50" t="s">
        <v>93</v>
      </c>
      <c r="B6" s="14">
        <v>9</v>
      </c>
      <c r="C6" s="14">
        <v>66.400000000000006</v>
      </c>
      <c r="D6" s="14">
        <v>67.8</v>
      </c>
      <c r="E6" s="14">
        <v>69.3</v>
      </c>
      <c r="F6" s="14">
        <v>71</v>
      </c>
      <c r="G6" s="14">
        <v>72.8</v>
      </c>
      <c r="H6" s="14">
        <v>74.3</v>
      </c>
      <c r="I6" s="14">
        <v>75.900000000000006</v>
      </c>
      <c r="J6" s="39">
        <v>7.11</v>
      </c>
      <c r="K6" s="39">
        <v>7.58</v>
      </c>
      <c r="L6" s="39">
        <v>8.08</v>
      </c>
      <c r="M6" s="39">
        <v>8.69</v>
      </c>
      <c r="N6" s="39">
        <v>9.36</v>
      </c>
      <c r="O6" s="39">
        <v>10.01</v>
      </c>
      <c r="P6" s="39">
        <v>10.71</v>
      </c>
      <c r="Q6" s="49" t="s">
        <v>98</v>
      </c>
      <c r="R6" s="11" t="s">
        <v>97</v>
      </c>
      <c r="S6" s="47" t="s">
        <v>104</v>
      </c>
      <c r="T6" s="11" t="s">
        <v>47</v>
      </c>
      <c r="U6" s="47"/>
      <c r="V6" s="47">
        <v>92</v>
      </c>
      <c r="W6" s="47">
        <v>14</v>
      </c>
      <c r="X6" s="22">
        <f t="shared" si="0"/>
        <v>30</v>
      </c>
      <c r="Y6" s="22">
        <f t="shared" si="1"/>
        <v>92</v>
      </c>
      <c r="Z6" s="22">
        <f t="shared" si="1"/>
        <v>14</v>
      </c>
      <c r="AA6" s="23">
        <f t="shared" si="2"/>
        <v>16.540642722117202</v>
      </c>
      <c r="AB6" s="22">
        <f t="shared" si="3"/>
        <v>2.5</v>
      </c>
      <c r="AC6" s="48">
        <f t="shared" si="4"/>
        <v>16.5</v>
      </c>
      <c r="AD6" s="59"/>
    </row>
    <row r="7" spans="1:30" x14ac:dyDescent="0.25">
      <c r="A7" s="50" t="s">
        <v>39</v>
      </c>
      <c r="B7" s="14">
        <v>12</v>
      </c>
      <c r="C7" s="14">
        <v>70</v>
      </c>
      <c r="D7" s="14">
        <v>71.599999999999994</v>
      </c>
      <c r="E7" s="14">
        <v>73.2</v>
      </c>
      <c r="F7" s="14">
        <v>75</v>
      </c>
      <c r="G7" s="14">
        <v>76.8</v>
      </c>
      <c r="H7" s="14">
        <v>78.5</v>
      </c>
      <c r="I7" s="14">
        <v>80.2</v>
      </c>
      <c r="J7" s="39">
        <v>7.7</v>
      </c>
      <c r="K7" s="39">
        <v>8.1999999999999993</v>
      </c>
      <c r="L7" s="39">
        <v>8.74</v>
      </c>
      <c r="M7" s="39">
        <v>9.4</v>
      </c>
      <c r="N7" s="39">
        <v>10.119999999999999</v>
      </c>
      <c r="O7" s="39">
        <v>10.82</v>
      </c>
      <c r="P7" s="39">
        <v>11.57</v>
      </c>
      <c r="Q7" s="49" t="s">
        <v>98</v>
      </c>
      <c r="R7" s="11" t="s">
        <v>97</v>
      </c>
      <c r="S7" s="47" t="s">
        <v>105</v>
      </c>
      <c r="T7" s="11" t="s">
        <v>31</v>
      </c>
      <c r="U7" s="47"/>
      <c r="V7" s="47">
        <v>97</v>
      </c>
      <c r="W7" s="47">
        <v>15</v>
      </c>
      <c r="X7" s="22">
        <f t="shared" si="0"/>
        <v>36</v>
      </c>
      <c r="Y7" s="22">
        <f t="shared" si="1"/>
        <v>97</v>
      </c>
      <c r="Z7" s="22">
        <f t="shared" si="1"/>
        <v>15</v>
      </c>
      <c r="AA7" s="23">
        <f t="shared" si="2"/>
        <v>15.942183016261028</v>
      </c>
      <c r="AB7" s="22">
        <f t="shared" si="3"/>
        <v>3</v>
      </c>
      <c r="AC7" s="48">
        <f t="shared" si="4"/>
        <v>15.9</v>
      </c>
      <c r="AD7" s="59"/>
    </row>
    <row r="8" spans="1:30" x14ac:dyDescent="0.25">
      <c r="A8" s="50" t="s">
        <v>94</v>
      </c>
      <c r="B8" s="14">
        <v>15</v>
      </c>
      <c r="C8" s="14">
        <v>73.2</v>
      </c>
      <c r="D8" s="14">
        <v>74.900000000000006</v>
      </c>
      <c r="E8" s="14">
        <v>76.599999999999994</v>
      </c>
      <c r="F8" s="14">
        <v>78.5</v>
      </c>
      <c r="G8" s="14">
        <v>80.400000000000006</v>
      </c>
      <c r="H8" s="14">
        <v>82.2</v>
      </c>
      <c r="I8" s="14">
        <v>84</v>
      </c>
      <c r="J8" s="39">
        <v>8.2200000000000006</v>
      </c>
      <c r="K8" s="39">
        <v>8.75</v>
      </c>
      <c r="L8" s="39">
        <v>9.33</v>
      </c>
      <c r="M8" s="39">
        <v>10.02</v>
      </c>
      <c r="N8" s="39">
        <v>10.79</v>
      </c>
      <c r="O8" s="39">
        <v>11.53</v>
      </c>
      <c r="P8" s="39">
        <v>12.33</v>
      </c>
      <c r="Q8" s="49"/>
      <c r="R8" s="11"/>
      <c r="S8" s="47"/>
      <c r="T8" s="11"/>
      <c r="U8" s="47"/>
      <c r="V8" s="47"/>
      <c r="W8" s="47"/>
      <c r="X8" s="22"/>
      <c r="Y8" s="22" t="e">
        <f t="shared" si="1"/>
        <v>#N/A</v>
      </c>
      <c r="Z8" s="22" t="e">
        <f t="shared" si="1"/>
        <v>#N/A</v>
      </c>
      <c r="AA8" s="23" t="e">
        <f t="shared" si="2"/>
        <v>#DIV/0!</v>
      </c>
      <c r="AB8" s="22" t="str">
        <f t="shared" si="3"/>
        <v/>
      </c>
      <c r="AC8" s="48" t="str">
        <f t="shared" si="4"/>
        <v/>
      </c>
      <c r="AD8" s="59"/>
    </row>
    <row r="9" spans="1:30" x14ac:dyDescent="0.25">
      <c r="A9" s="50" t="s">
        <v>36</v>
      </c>
      <c r="B9" s="14">
        <v>18</v>
      </c>
      <c r="C9" s="14">
        <v>76</v>
      </c>
      <c r="D9" s="14">
        <v>77.7</v>
      </c>
      <c r="E9" s="14">
        <v>79.5</v>
      </c>
      <c r="F9" s="14">
        <v>81.5</v>
      </c>
      <c r="G9" s="14">
        <v>83.6</v>
      </c>
      <c r="H9" s="14">
        <v>85.5</v>
      </c>
      <c r="I9" s="14">
        <v>87.4</v>
      </c>
      <c r="J9" s="39">
        <v>8.73</v>
      </c>
      <c r="K9" s="39">
        <v>9.2899999999999991</v>
      </c>
      <c r="L9" s="39">
        <v>9.91</v>
      </c>
      <c r="M9" s="39">
        <v>10.65</v>
      </c>
      <c r="N9" s="39">
        <v>11.46</v>
      </c>
      <c r="O9" s="39">
        <v>12.25</v>
      </c>
      <c r="P9" s="39">
        <v>13.11</v>
      </c>
      <c r="Q9" s="49"/>
      <c r="R9" s="11"/>
      <c r="S9" s="47"/>
      <c r="T9" s="11"/>
      <c r="U9" s="47"/>
      <c r="V9" s="47"/>
      <c r="W9" s="47"/>
      <c r="X9" s="22"/>
      <c r="Y9" s="22" t="e">
        <f t="shared" si="1"/>
        <v>#N/A</v>
      </c>
      <c r="Z9" s="22" t="e">
        <f t="shared" si="1"/>
        <v>#N/A</v>
      </c>
      <c r="AA9" s="23" t="e">
        <f t="shared" si="2"/>
        <v>#DIV/0!</v>
      </c>
      <c r="AB9" s="22" t="str">
        <f t="shared" si="3"/>
        <v/>
      </c>
      <c r="AC9" s="48" t="str">
        <f t="shared" si="4"/>
        <v/>
      </c>
      <c r="AD9" s="59"/>
    </row>
    <row r="10" spans="1:30" x14ac:dyDescent="0.25">
      <c r="A10" s="50" t="s">
        <v>95</v>
      </c>
      <c r="B10" s="14">
        <v>21</v>
      </c>
      <c r="C10" s="14">
        <v>78.5</v>
      </c>
      <c r="D10" s="14">
        <v>80.400000000000006</v>
      </c>
      <c r="E10" s="14">
        <v>82.3</v>
      </c>
      <c r="F10" s="14">
        <v>84.4</v>
      </c>
      <c r="G10" s="14">
        <v>86.6</v>
      </c>
      <c r="H10" s="14">
        <v>88.6</v>
      </c>
      <c r="I10" s="14">
        <v>90.7</v>
      </c>
      <c r="J10" s="39">
        <v>9.26</v>
      </c>
      <c r="K10" s="39">
        <v>9.86</v>
      </c>
      <c r="L10" s="39">
        <v>10.51</v>
      </c>
      <c r="M10" s="39">
        <v>11.3</v>
      </c>
      <c r="N10" s="39">
        <v>12.17</v>
      </c>
      <c r="O10" s="39">
        <v>13.01</v>
      </c>
      <c r="P10" s="39">
        <v>13.93</v>
      </c>
      <c r="Q10" s="49"/>
      <c r="R10" s="11"/>
      <c r="S10" s="47"/>
      <c r="T10" s="11"/>
      <c r="U10" s="47"/>
      <c r="V10" s="47"/>
      <c r="W10" s="47"/>
      <c r="X10" s="22"/>
      <c r="Y10" s="22" t="e">
        <f t="shared" si="1"/>
        <v>#N/A</v>
      </c>
      <c r="Z10" s="22" t="e">
        <f t="shared" si="1"/>
        <v>#N/A</v>
      </c>
      <c r="AA10" s="23" t="e">
        <f t="shared" si="2"/>
        <v>#DIV/0!</v>
      </c>
      <c r="AB10" s="22" t="str">
        <f t="shared" si="3"/>
        <v/>
      </c>
      <c r="AC10" s="48" t="str">
        <f t="shared" si="4"/>
        <v/>
      </c>
      <c r="AD10" s="59"/>
    </row>
    <row r="11" spans="1:30" x14ac:dyDescent="0.25">
      <c r="A11" s="50" t="s">
        <v>33</v>
      </c>
      <c r="B11" s="14">
        <v>24</v>
      </c>
      <c r="C11" s="14">
        <v>80.900000000000006</v>
      </c>
      <c r="D11" s="14">
        <v>82.9</v>
      </c>
      <c r="E11" s="14">
        <v>84.9</v>
      </c>
      <c r="F11" s="14">
        <v>87.2</v>
      </c>
      <c r="G11" s="14">
        <v>89.6</v>
      </c>
      <c r="H11" s="14">
        <v>91.7</v>
      </c>
      <c r="I11" s="14">
        <v>93.9</v>
      </c>
      <c r="J11" s="39">
        <v>9.76</v>
      </c>
      <c r="K11" s="39">
        <v>10.39</v>
      </c>
      <c r="L11" s="39">
        <v>11.08</v>
      </c>
      <c r="M11" s="39">
        <v>11.92</v>
      </c>
      <c r="N11" s="39">
        <v>12.84</v>
      </c>
      <c r="O11" s="39">
        <v>13.74</v>
      </c>
      <c r="P11" s="39">
        <v>14.71</v>
      </c>
      <c r="Q11" s="49"/>
      <c r="R11" s="11"/>
      <c r="S11" s="47"/>
      <c r="T11" s="11"/>
      <c r="U11" s="47"/>
      <c r="V11" s="47"/>
      <c r="W11" s="47"/>
      <c r="X11" s="22"/>
      <c r="Y11" s="22" t="e">
        <f t="shared" si="1"/>
        <v>#N/A</v>
      </c>
      <c r="Z11" s="22" t="e">
        <f t="shared" si="1"/>
        <v>#N/A</v>
      </c>
      <c r="AA11" s="23" t="e">
        <f t="shared" si="2"/>
        <v>#DIV/0!</v>
      </c>
      <c r="AB11" s="22" t="str">
        <f t="shared" si="3"/>
        <v/>
      </c>
      <c r="AC11" s="48" t="str">
        <f t="shared" si="4"/>
        <v/>
      </c>
      <c r="AD11" s="59"/>
    </row>
    <row r="12" spans="1:30" x14ac:dyDescent="0.25">
      <c r="A12" s="50" t="s">
        <v>47</v>
      </c>
      <c r="B12" s="14">
        <v>30</v>
      </c>
      <c r="C12" s="14">
        <v>85.2</v>
      </c>
      <c r="D12" s="14">
        <v>87.4</v>
      </c>
      <c r="E12" s="14">
        <v>89.6</v>
      </c>
      <c r="F12" s="14">
        <v>92.1</v>
      </c>
      <c r="G12" s="14">
        <v>94.6</v>
      </c>
      <c r="H12" s="14">
        <v>97</v>
      </c>
      <c r="I12" s="14">
        <v>99.3</v>
      </c>
      <c r="J12" s="39">
        <v>10.65</v>
      </c>
      <c r="K12" s="39">
        <v>11.35</v>
      </c>
      <c r="L12" s="39">
        <v>12.12</v>
      </c>
      <c r="M12" s="39">
        <v>13.05</v>
      </c>
      <c r="N12" s="39">
        <v>14.07</v>
      </c>
      <c r="O12" s="39">
        <v>15.08</v>
      </c>
      <c r="P12" s="39">
        <v>16.16</v>
      </c>
      <c r="Q12" s="47"/>
      <c r="R12" s="11"/>
      <c r="S12" s="47"/>
      <c r="T12" s="11"/>
      <c r="U12" s="47"/>
      <c r="V12" s="47"/>
      <c r="W12" s="47"/>
      <c r="X12" s="22"/>
      <c r="Y12" s="22" t="e">
        <f t="shared" si="1"/>
        <v>#N/A</v>
      </c>
      <c r="Z12" s="22" t="e">
        <f t="shared" si="1"/>
        <v>#N/A</v>
      </c>
      <c r="AA12" s="23" t="e">
        <f t="shared" si="2"/>
        <v>#DIV/0!</v>
      </c>
      <c r="AB12" s="22" t="str">
        <f t="shared" si="3"/>
        <v/>
      </c>
      <c r="AC12" s="48" t="str">
        <f t="shared" si="4"/>
        <v/>
      </c>
      <c r="AD12" s="59"/>
    </row>
    <row r="13" spans="1:30" x14ac:dyDescent="0.25">
      <c r="A13" s="50" t="s">
        <v>31</v>
      </c>
      <c r="B13" s="14">
        <v>36</v>
      </c>
      <c r="C13" s="14">
        <v>88.6</v>
      </c>
      <c r="D13" s="14">
        <v>90.8</v>
      </c>
      <c r="E13" s="14">
        <v>93.1</v>
      </c>
      <c r="F13" s="14">
        <v>95.6</v>
      </c>
      <c r="G13" s="14">
        <v>98.2</v>
      </c>
      <c r="H13" s="14">
        <v>100.5</v>
      </c>
      <c r="I13" s="14">
        <v>102.9</v>
      </c>
      <c r="J13" s="39">
        <v>11.5</v>
      </c>
      <c r="K13" s="39">
        <v>12.27</v>
      </c>
      <c r="L13" s="39">
        <v>13.11</v>
      </c>
      <c r="M13" s="39">
        <v>14.13</v>
      </c>
      <c r="N13" s="39">
        <v>15.25</v>
      </c>
      <c r="O13" s="39">
        <v>16.36</v>
      </c>
      <c r="P13" s="39">
        <v>17.55</v>
      </c>
      <c r="Q13" s="47"/>
      <c r="R13" s="11"/>
      <c r="S13" s="47"/>
      <c r="T13" s="11"/>
      <c r="U13" s="47"/>
      <c r="V13" s="47"/>
      <c r="W13" s="47"/>
      <c r="X13" s="22"/>
      <c r="Y13" s="22" t="e">
        <f t="shared" si="1"/>
        <v>#N/A</v>
      </c>
      <c r="Z13" s="22" t="e">
        <f t="shared" si="1"/>
        <v>#N/A</v>
      </c>
      <c r="AA13" s="23" t="e">
        <f t="shared" si="2"/>
        <v>#DIV/0!</v>
      </c>
      <c r="AB13" s="22" t="str">
        <f t="shared" si="3"/>
        <v/>
      </c>
      <c r="AC13" s="48" t="str">
        <f t="shared" si="4"/>
        <v/>
      </c>
      <c r="AD13" s="59"/>
    </row>
  </sheetData>
  <protectedRanges>
    <protectedRange algorithmName="SHA-512" hashValue="tgdTsx4/GXU4lrIPOkFdUKZKo9lbhHHoTmE3qI1FcrCuGU5gVSMbsRWC2682tZ+7UD9/K3uVJvF0XgU6XM2g/w==" saltValue="COAZPGeH3xf+qkxIxn1DIA==" spinCount="100000" sqref="Q1:Z1" name="区域2"/>
    <protectedRange algorithmName="SHA-512" hashValue="tgdTsx4/GXU4lrIPOkFdUKZKo9lbhHHoTmE3qI1FcrCuGU5gVSMbsRWC2682tZ+7UD9/K3uVJvF0XgU6XM2g/w==" saltValue="COAZPGeH3xf+qkxIxn1DIA==" spinCount="100000" sqref="Y2:Y13" name="区域2_3"/>
    <protectedRange algorithmName="SHA-512" hashValue="tgdTsx4/GXU4lrIPOkFdUKZKo9lbhHHoTmE3qI1FcrCuGU5gVSMbsRWC2682tZ+7UD9/K3uVJvF0XgU6XM2g/w==" saltValue="COAZPGeH3xf+qkxIxn1DIA==" spinCount="100000" sqref="Z2:Z13" name="区域2_4"/>
    <protectedRange algorithmName="SHA-512" hashValue="tgdTsx4/GXU4lrIPOkFdUKZKo9lbhHHoTmE3qI1FcrCuGU5gVSMbsRWC2682tZ+7UD9/K3uVJvF0XgU6XM2g/w==" saltValue="COAZPGeH3xf+qkxIxn1DIA==" spinCount="100000" sqref="X2:X7" name="区域2_5_1"/>
    <protectedRange algorithmName="SHA-512" hashValue="tgdTsx4/GXU4lrIPOkFdUKZKo9lbhHHoTmE3qI1FcrCuGU5gVSMbsRWC2682tZ+7UD9/K3uVJvF0XgU6XM2g/w==" saltValue="COAZPGeH3xf+qkxIxn1DIA==" spinCount="100000" sqref="X8" name="区域2_5_7"/>
    <protectedRange algorithmName="SHA-512" hashValue="tgdTsx4/GXU4lrIPOkFdUKZKo9lbhHHoTmE3qI1FcrCuGU5gVSMbsRWC2682tZ+7UD9/K3uVJvF0XgU6XM2g/w==" saltValue="COAZPGeH3xf+qkxIxn1DIA==" spinCount="100000" sqref="X9" name="区域2_5_8"/>
    <protectedRange algorithmName="SHA-512" hashValue="tgdTsx4/GXU4lrIPOkFdUKZKo9lbhHHoTmE3qI1FcrCuGU5gVSMbsRWC2682tZ+7UD9/K3uVJvF0XgU6XM2g/w==" saltValue="COAZPGeH3xf+qkxIxn1DIA==" spinCount="100000" sqref="X10" name="区域2_5_9"/>
    <protectedRange algorithmName="SHA-512" hashValue="tgdTsx4/GXU4lrIPOkFdUKZKo9lbhHHoTmE3qI1FcrCuGU5gVSMbsRWC2682tZ+7UD9/K3uVJvF0XgU6XM2g/w==" saltValue="COAZPGeH3xf+qkxIxn1DIA==" spinCount="100000" sqref="X11" name="区域2_5_10"/>
    <protectedRange algorithmName="SHA-512" hashValue="tgdTsx4/GXU4lrIPOkFdUKZKo9lbhHHoTmE3qI1FcrCuGU5gVSMbsRWC2682tZ+7UD9/K3uVJvF0XgU6XM2g/w==" saltValue="COAZPGeH3xf+qkxIxn1DIA==" spinCount="100000" sqref="X12" name="区域2_5_11"/>
    <protectedRange algorithmName="SHA-512" hashValue="tgdTsx4/GXU4lrIPOkFdUKZKo9lbhHHoTmE3qI1FcrCuGU5gVSMbsRWC2682tZ+7UD9/K3uVJvF0XgU6XM2g/w==" saltValue="COAZPGeH3xf+qkxIxn1DIA==" spinCount="100000" sqref="X13" name="区域2_5_12"/>
  </protectedRanges>
  <mergeCells count="1">
    <mergeCell ref="AD2:AD13"/>
  </mergeCells>
  <phoneticPr fontId="1" type="noConversion"/>
  <dataValidations count="2">
    <dataValidation type="list" allowBlank="1" showInputMessage="1" showErrorMessage="1" sqref="T2:T13" xr:uid="{CF0CC2A4-13DD-4B79-B13E-5154D5C2E581}">
      <formula1>$A$2:$A$13</formula1>
    </dataValidation>
    <dataValidation type="list" allowBlank="1" showInputMessage="1" showErrorMessage="1" sqref="R2:R13" xr:uid="{6AB399CF-521C-47F8-9B10-C3B56AAC775D}">
      <formula1>"男,女"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1025-BC88-47B2-9C79-AF785A9D62BD}">
  <sheetPr>
    <tabColor rgb="FFFF99CC"/>
  </sheetPr>
  <dimension ref="A1:AD31"/>
  <sheetViews>
    <sheetView workbookViewId="0">
      <selection activeCell="B2" sqref="B2"/>
    </sheetView>
  </sheetViews>
  <sheetFormatPr defaultRowHeight="13.8" x14ac:dyDescent="0.25"/>
  <cols>
    <col min="1" max="1" width="4.88671875" bestFit="1" customWidth="1"/>
    <col min="2" max="2" width="4.44140625" bestFit="1" customWidth="1"/>
    <col min="3" max="3" width="3.5546875" bestFit="1" customWidth="1"/>
    <col min="4" max="9" width="4.109375" bestFit="1" customWidth="1"/>
    <col min="10" max="16" width="6.44140625" bestFit="1" customWidth="1"/>
    <col min="17" max="18" width="4.6640625" bestFit="1" customWidth="1"/>
    <col min="19" max="19" width="8" bestFit="1" customWidth="1"/>
    <col min="20" max="20" width="6.44140625" customWidth="1"/>
    <col min="21" max="21" width="6.33203125" bestFit="1" customWidth="1"/>
    <col min="22" max="23" width="8" bestFit="1" customWidth="1"/>
    <col min="24" max="26" width="9.6640625" bestFit="1" customWidth="1"/>
    <col min="27" max="27" width="6.88671875" bestFit="1" customWidth="1"/>
    <col min="28" max="30" width="8.6640625" bestFit="1" customWidth="1"/>
  </cols>
  <sheetData>
    <row r="1" spans="1:30" ht="22.2" thickBot="1" x14ac:dyDescent="0.3">
      <c r="A1" s="15" t="s">
        <v>0</v>
      </c>
      <c r="B1" s="16" t="s">
        <v>45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1</v>
      </c>
      <c r="K1" s="15" t="s">
        <v>2</v>
      </c>
      <c r="L1" s="15" t="s">
        <v>3</v>
      </c>
      <c r="M1" s="15" t="s">
        <v>4</v>
      </c>
      <c r="N1" s="15" t="s">
        <v>5</v>
      </c>
      <c r="O1" s="15" t="s">
        <v>6</v>
      </c>
      <c r="P1" s="15" t="s">
        <v>7</v>
      </c>
      <c r="Q1" s="42" t="s">
        <v>19</v>
      </c>
      <c r="R1" s="42" t="s">
        <v>24</v>
      </c>
      <c r="S1" s="43" t="s">
        <v>54</v>
      </c>
      <c r="T1" s="44" t="s">
        <v>28</v>
      </c>
      <c r="U1" s="44" t="s">
        <v>55</v>
      </c>
      <c r="V1" s="44" t="s">
        <v>26</v>
      </c>
      <c r="W1" s="44" t="s">
        <v>27</v>
      </c>
      <c r="X1" s="45" t="s">
        <v>20</v>
      </c>
      <c r="Y1" s="45" t="s">
        <v>21</v>
      </c>
      <c r="Z1" s="45" t="s">
        <v>22</v>
      </c>
      <c r="AA1" s="46" t="s">
        <v>89</v>
      </c>
      <c r="AB1" s="28" t="s">
        <v>88</v>
      </c>
      <c r="AC1" s="28" t="s">
        <v>87</v>
      </c>
      <c r="AD1" s="29" t="s">
        <v>86</v>
      </c>
    </row>
    <row r="2" spans="1:30" ht="14.4" thickBot="1" x14ac:dyDescent="0.3">
      <c r="A2" s="14" t="s">
        <v>31</v>
      </c>
      <c r="B2" s="14">
        <v>36</v>
      </c>
      <c r="C2" s="12">
        <v>88.6</v>
      </c>
      <c r="D2" s="12">
        <v>90.8</v>
      </c>
      <c r="E2" s="12">
        <v>93.1</v>
      </c>
      <c r="F2" s="12">
        <v>95.6</v>
      </c>
      <c r="G2" s="12">
        <v>98.2</v>
      </c>
      <c r="H2" s="12">
        <v>100.5</v>
      </c>
      <c r="I2" s="12">
        <v>102.9</v>
      </c>
      <c r="J2" s="12">
        <v>11.5</v>
      </c>
      <c r="K2" s="12">
        <v>12.27</v>
      </c>
      <c r="L2" s="12">
        <v>13.11</v>
      </c>
      <c r="M2" s="12">
        <v>14.13</v>
      </c>
      <c r="N2" s="12">
        <v>15.25</v>
      </c>
      <c r="O2" s="12">
        <v>16.36</v>
      </c>
      <c r="P2" s="56">
        <v>17.55</v>
      </c>
      <c r="Q2" s="53"/>
      <c r="R2" s="11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 spans="1:30" ht="14.4" thickBot="1" x14ac:dyDescent="0.3">
      <c r="A3" s="14" t="s">
        <v>58</v>
      </c>
      <c r="B3" s="14">
        <v>42</v>
      </c>
      <c r="C3" s="12">
        <v>92.4</v>
      </c>
      <c r="D3" s="12">
        <v>94.6</v>
      </c>
      <c r="E3" s="12">
        <v>96.8</v>
      </c>
      <c r="F3" s="12">
        <v>99.4</v>
      </c>
      <c r="G3" s="12">
        <v>102</v>
      </c>
      <c r="H3" s="12">
        <v>104.4</v>
      </c>
      <c r="I3" s="12">
        <v>106.8</v>
      </c>
      <c r="J3" s="12">
        <v>12.32</v>
      </c>
      <c r="K3" s="12">
        <v>13.14</v>
      </c>
      <c r="L3" s="12">
        <v>14.05</v>
      </c>
      <c r="M3" s="12">
        <v>15.16</v>
      </c>
      <c r="N3" s="12">
        <v>16.38</v>
      </c>
      <c r="O3" s="12">
        <v>17.59</v>
      </c>
      <c r="P3" s="56">
        <v>18.89</v>
      </c>
      <c r="Q3" s="53"/>
      <c r="R3" s="11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spans="1:30" ht="14.4" thickBot="1" x14ac:dyDescent="0.3">
      <c r="A4" s="14" t="s">
        <v>59</v>
      </c>
      <c r="B4" s="14">
        <v>48</v>
      </c>
      <c r="C4" s="12">
        <v>95.8</v>
      </c>
      <c r="D4" s="12">
        <v>98.1</v>
      </c>
      <c r="E4" s="12">
        <v>100.4</v>
      </c>
      <c r="F4" s="12">
        <v>103.1</v>
      </c>
      <c r="G4" s="12">
        <v>105.7</v>
      </c>
      <c r="H4" s="12">
        <v>108.2</v>
      </c>
      <c r="I4" s="12">
        <v>110.6</v>
      </c>
      <c r="J4" s="12">
        <v>13.1</v>
      </c>
      <c r="K4" s="12">
        <v>13.99</v>
      </c>
      <c r="L4" s="12">
        <v>14.97</v>
      </c>
      <c r="M4" s="12">
        <v>16.170000000000002</v>
      </c>
      <c r="N4" s="12">
        <v>17.5</v>
      </c>
      <c r="O4" s="12">
        <v>18.809999999999999</v>
      </c>
      <c r="P4" s="56">
        <v>20.239999999999998</v>
      </c>
      <c r="Q4" s="53"/>
      <c r="R4" s="11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 spans="1:30" ht="14.4" thickBot="1" x14ac:dyDescent="0.3">
      <c r="A5" s="14" t="s">
        <v>60</v>
      </c>
      <c r="B5" s="14">
        <v>54</v>
      </c>
      <c r="C5" s="12">
        <v>99.2</v>
      </c>
      <c r="D5" s="12">
        <v>101.5</v>
      </c>
      <c r="E5" s="12">
        <v>104</v>
      </c>
      <c r="F5" s="12">
        <v>106.7</v>
      </c>
      <c r="G5" s="12">
        <v>109.5</v>
      </c>
      <c r="H5" s="12">
        <v>112.1</v>
      </c>
      <c r="I5" s="12">
        <v>114.7</v>
      </c>
      <c r="J5" s="12">
        <v>13.89</v>
      </c>
      <c r="K5" s="12">
        <v>14.85</v>
      </c>
      <c r="L5" s="12">
        <v>15.92</v>
      </c>
      <c r="M5" s="12">
        <v>17.22</v>
      </c>
      <c r="N5" s="12">
        <v>18.66</v>
      </c>
      <c r="O5" s="12">
        <v>20.100000000000001</v>
      </c>
      <c r="P5" s="56">
        <v>21.67</v>
      </c>
      <c r="Q5" s="53"/>
      <c r="R5" s="11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</row>
    <row r="6" spans="1:30" ht="14.4" thickBot="1" x14ac:dyDescent="0.3">
      <c r="A6" s="14" t="s">
        <v>61</v>
      </c>
      <c r="B6" s="14">
        <v>60</v>
      </c>
      <c r="C6" s="12">
        <v>102.3</v>
      </c>
      <c r="D6" s="12">
        <v>104.8</v>
      </c>
      <c r="E6" s="12">
        <v>107.3</v>
      </c>
      <c r="F6" s="12">
        <v>110.2</v>
      </c>
      <c r="G6" s="12">
        <v>113.1</v>
      </c>
      <c r="H6" s="12">
        <v>119.3</v>
      </c>
      <c r="I6" s="12">
        <v>118.4</v>
      </c>
      <c r="J6" s="12">
        <v>14.64</v>
      </c>
      <c r="K6" s="12">
        <v>15.68</v>
      </c>
      <c r="L6" s="12">
        <v>16.84</v>
      </c>
      <c r="M6" s="12">
        <v>18.260000000000002</v>
      </c>
      <c r="N6" s="12">
        <v>19.829999999999998</v>
      </c>
      <c r="O6" s="12">
        <v>21.41</v>
      </c>
      <c r="P6" s="56">
        <v>23.14</v>
      </c>
      <c r="Q6" s="53"/>
      <c r="R6" s="11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1:30" ht="14.4" thickBot="1" x14ac:dyDescent="0.3">
      <c r="A7" s="14" t="s">
        <v>62</v>
      </c>
      <c r="B7" s="14">
        <v>66</v>
      </c>
      <c r="C7" s="12">
        <v>105.4</v>
      </c>
      <c r="D7" s="12">
        <v>108</v>
      </c>
      <c r="E7" s="12">
        <v>110.6</v>
      </c>
      <c r="F7" s="12">
        <v>113.5</v>
      </c>
      <c r="G7" s="12">
        <v>116.5</v>
      </c>
      <c r="H7" s="12">
        <v>122.5</v>
      </c>
      <c r="I7" s="12">
        <v>122</v>
      </c>
      <c r="J7" s="12">
        <v>15.39</v>
      </c>
      <c r="K7" s="12">
        <v>16.52</v>
      </c>
      <c r="L7" s="12">
        <v>17.78</v>
      </c>
      <c r="M7" s="12">
        <v>19.329999999999998</v>
      </c>
      <c r="N7" s="12">
        <v>21.06</v>
      </c>
      <c r="O7" s="12">
        <v>22.81</v>
      </c>
      <c r="P7" s="56">
        <v>24.72</v>
      </c>
      <c r="Q7" s="53"/>
      <c r="R7" s="11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 spans="1:30" ht="14.4" thickBot="1" x14ac:dyDescent="0.3">
      <c r="A8" s="14" t="s">
        <v>63</v>
      </c>
      <c r="B8" s="14">
        <v>72</v>
      </c>
      <c r="C8" s="12">
        <v>108.1</v>
      </c>
      <c r="D8" s="12">
        <v>110.8</v>
      </c>
      <c r="E8" s="12">
        <v>113.5</v>
      </c>
      <c r="F8" s="12">
        <v>116.6</v>
      </c>
      <c r="G8" s="12">
        <v>119.7</v>
      </c>
      <c r="H8" s="12">
        <v>122.5</v>
      </c>
      <c r="I8" s="12">
        <v>125.4</v>
      </c>
      <c r="J8" s="12">
        <v>16.100000000000001</v>
      </c>
      <c r="K8" s="12">
        <v>17.32</v>
      </c>
      <c r="L8" s="12">
        <v>18.68</v>
      </c>
      <c r="M8" s="12">
        <v>20.37</v>
      </c>
      <c r="N8" s="12">
        <v>22.27</v>
      </c>
      <c r="O8" s="12">
        <v>24.19</v>
      </c>
      <c r="P8" s="56">
        <v>26.3</v>
      </c>
      <c r="Q8" s="53"/>
      <c r="R8" s="11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spans="1:30" ht="14.4" thickBot="1" x14ac:dyDescent="0.3">
      <c r="A9" s="14" t="s">
        <v>57</v>
      </c>
      <c r="B9" s="14">
        <v>78</v>
      </c>
      <c r="C9" s="12">
        <v>110.6</v>
      </c>
      <c r="D9" s="12">
        <v>113.4</v>
      </c>
      <c r="E9" s="12">
        <v>116.2</v>
      </c>
      <c r="F9" s="12">
        <v>119.4</v>
      </c>
      <c r="G9" s="12">
        <v>122.7</v>
      </c>
      <c r="H9" s="12">
        <v>125.6</v>
      </c>
      <c r="I9" s="12">
        <v>128.6</v>
      </c>
      <c r="J9" s="12">
        <v>16.8</v>
      </c>
      <c r="K9" s="12">
        <v>18.12</v>
      </c>
      <c r="L9" s="12">
        <v>19.600000000000001</v>
      </c>
      <c r="M9" s="12">
        <v>21.44</v>
      </c>
      <c r="N9" s="12">
        <v>23.51</v>
      </c>
      <c r="O9" s="12">
        <v>25.62</v>
      </c>
      <c r="P9" s="56">
        <v>27.96</v>
      </c>
      <c r="Q9" s="53"/>
      <c r="R9" s="11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spans="1:30" ht="14.4" thickBot="1" x14ac:dyDescent="0.3">
      <c r="A10" s="14" t="s">
        <v>64</v>
      </c>
      <c r="B10" s="14">
        <v>84</v>
      </c>
      <c r="C10" s="12">
        <v>113.3</v>
      </c>
      <c r="D10" s="12">
        <v>116.2</v>
      </c>
      <c r="E10" s="12">
        <v>119.2</v>
      </c>
      <c r="F10" s="12">
        <v>122.5</v>
      </c>
      <c r="G10" s="12">
        <v>125.9</v>
      </c>
      <c r="H10" s="12">
        <v>129</v>
      </c>
      <c r="I10" s="12">
        <v>132.1</v>
      </c>
      <c r="J10" s="12">
        <v>17.579999999999998</v>
      </c>
      <c r="K10" s="12">
        <v>19.010000000000002</v>
      </c>
      <c r="L10" s="12">
        <v>20.62</v>
      </c>
      <c r="M10" s="12">
        <v>22.64</v>
      </c>
      <c r="N10" s="12">
        <v>24.94</v>
      </c>
      <c r="O10" s="12">
        <v>27.28</v>
      </c>
      <c r="P10" s="56">
        <v>29.89</v>
      </c>
      <c r="Q10" s="53"/>
      <c r="R10" s="11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spans="1:30" ht="14.4" thickBot="1" x14ac:dyDescent="0.3">
      <c r="A11" s="14" t="s">
        <v>65</v>
      </c>
      <c r="B11" s="14">
        <v>90</v>
      </c>
      <c r="C11" s="12">
        <v>116</v>
      </c>
      <c r="D11" s="12">
        <v>119</v>
      </c>
      <c r="E11" s="12">
        <v>122.1</v>
      </c>
      <c r="F11" s="12">
        <v>125.6</v>
      </c>
      <c r="G11" s="12">
        <v>129.1</v>
      </c>
      <c r="H11" s="12">
        <v>132.30000000000001</v>
      </c>
      <c r="I11" s="12">
        <v>135.5</v>
      </c>
      <c r="J11" s="12">
        <v>18.39</v>
      </c>
      <c r="K11" s="12">
        <v>19.95</v>
      </c>
      <c r="L11" s="12">
        <v>21.71</v>
      </c>
      <c r="M11" s="12">
        <v>23.93</v>
      </c>
      <c r="N11" s="12">
        <v>26.48</v>
      </c>
      <c r="O11" s="12">
        <v>29.08</v>
      </c>
      <c r="P11" s="56">
        <v>32.01</v>
      </c>
      <c r="Q11" s="53"/>
      <c r="R11" s="11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spans="1:30" ht="14.4" thickBot="1" x14ac:dyDescent="0.3">
      <c r="A12" s="14" t="s">
        <v>66</v>
      </c>
      <c r="B12" s="14">
        <v>96</v>
      </c>
      <c r="C12" s="12">
        <v>118.5</v>
      </c>
      <c r="D12" s="12">
        <v>121.6</v>
      </c>
      <c r="E12" s="12">
        <v>124.9</v>
      </c>
      <c r="F12" s="12">
        <v>128.5</v>
      </c>
      <c r="G12" s="12">
        <v>132.1</v>
      </c>
      <c r="H12" s="12">
        <v>135.4</v>
      </c>
      <c r="I12" s="12">
        <v>138.69999999999999</v>
      </c>
      <c r="J12" s="12">
        <v>19.2</v>
      </c>
      <c r="K12" s="12">
        <v>20.89</v>
      </c>
      <c r="L12" s="12">
        <v>22.81</v>
      </c>
      <c r="M12" s="12">
        <v>25.25</v>
      </c>
      <c r="N12" s="12">
        <v>28.05</v>
      </c>
      <c r="O12" s="12">
        <v>30.95</v>
      </c>
      <c r="P12" s="56">
        <v>34.229999999999997</v>
      </c>
      <c r="Q12" s="53"/>
      <c r="R12" s="11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spans="1:30" ht="14.4" thickBot="1" x14ac:dyDescent="0.3">
      <c r="A13" s="14" t="s">
        <v>67</v>
      </c>
      <c r="B13" s="14">
        <v>102</v>
      </c>
      <c r="C13" s="12">
        <v>121</v>
      </c>
      <c r="D13" s="12">
        <v>124.2</v>
      </c>
      <c r="E13" s="12">
        <v>127.6</v>
      </c>
      <c r="F13" s="12">
        <v>131.30000000000001</v>
      </c>
      <c r="G13" s="12">
        <v>135.1</v>
      </c>
      <c r="H13" s="12">
        <v>138.5</v>
      </c>
      <c r="I13" s="12">
        <v>141.9</v>
      </c>
      <c r="J13" s="12">
        <v>20.05</v>
      </c>
      <c r="K13" s="12">
        <v>21.88</v>
      </c>
      <c r="L13" s="12">
        <v>23.99</v>
      </c>
      <c r="M13" s="12">
        <v>26.67</v>
      </c>
      <c r="N13" s="12">
        <v>29.77</v>
      </c>
      <c r="O13" s="12">
        <v>33</v>
      </c>
      <c r="P13" s="56">
        <v>36.69</v>
      </c>
      <c r="Q13" s="53"/>
      <c r="R13" s="11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spans="1:30" ht="14.4" thickBot="1" x14ac:dyDescent="0.3">
      <c r="A14" s="14" t="s">
        <v>68</v>
      </c>
      <c r="B14" s="14">
        <v>108</v>
      </c>
      <c r="C14" s="12">
        <v>123.3</v>
      </c>
      <c r="D14" s="12">
        <v>126.7</v>
      </c>
      <c r="E14" s="12">
        <v>130.19999999999999</v>
      </c>
      <c r="F14" s="12">
        <v>134.1</v>
      </c>
      <c r="G14" s="12">
        <v>138</v>
      </c>
      <c r="H14" s="12">
        <v>141.6</v>
      </c>
      <c r="I14" s="12">
        <v>145.1</v>
      </c>
      <c r="J14" s="12">
        <v>20.93</v>
      </c>
      <c r="K14" s="12">
        <v>22.93</v>
      </c>
      <c r="L14" s="12">
        <v>25.23</v>
      </c>
      <c r="M14" s="12">
        <v>28.19</v>
      </c>
      <c r="N14" s="12">
        <v>31.63</v>
      </c>
      <c r="O14" s="12">
        <v>35.26</v>
      </c>
      <c r="P14" s="56">
        <v>39.409999999999997</v>
      </c>
      <c r="Q14" s="53"/>
      <c r="R14" s="11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spans="1:30" ht="14.4" thickBot="1" x14ac:dyDescent="0.3">
      <c r="A15" s="14" t="s">
        <v>69</v>
      </c>
      <c r="B15" s="14">
        <v>114</v>
      </c>
      <c r="C15" s="12">
        <v>125.7</v>
      </c>
      <c r="D15" s="12">
        <v>129.30000000000001</v>
      </c>
      <c r="E15" s="12">
        <v>132.9</v>
      </c>
      <c r="F15" s="12">
        <v>137</v>
      </c>
      <c r="G15" s="12">
        <v>141.1</v>
      </c>
      <c r="H15" s="12">
        <v>144.80000000000001</v>
      </c>
      <c r="I15" s="12">
        <v>148.5</v>
      </c>
      <c r="J15" s="12">
        <v>21.89</v>
      </c>
      <c r="K15" s="12">
        <v>24.08</v>
      </c>
      <c r="L15" s="12">
        <v>26.61</v>
      </c>
      <c r="M15" s="12">
        <v>29.87</v>
      </c>
      <c r="N15" s="12">
        <v>33.72</v>
      </c>
      <c r="O15" s="12">
        <v>37.79</v>
      </c>
      <c r="P15" s="56">
        <v>42.51</v>
      </c>
      <c r="Q15" s="53"/>
      <c r="R15" s="11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spans="1:30" ht="14.4" thickBot="1" x14ac:dyDescent="0.3">
      <c r="A16" s="14" t="s">
        <v>70</v>
      </c>
      <c r="B16" s="14">
        <v>120</v>
      </c>
      <c r="C16" s="12">
        <v>128.30000000000001</v>
      </c>
      <c r="D16" s="12">
        <v>132.1</v>
      </c>
      <c r="E16" s="12">
        <v>135.9</v>
      </c>
      <c r="F16" s="12">
        <v>140.1</v>
      </c>
      <c r="G16" s="12">
        <v>144.4</v>
      </c>
      <c r="H16" s="12">
        <v>148.19999999999999</v>
      </c>
      <c r="I16" s="12">
        <v>152</v>
      </c>
      <c r="J16" s="12">
        <v>22.98</v>
      </c>
      <c r="K16" s="12">
        <v>25.36</v>
      </c>
      <c r="L16" s="12">
        <v>28.15</v>
      </c>
      <c r="M16" s="12">
        <v>31.76</v>
      </c>
      <c r="N16" s="12">
        <v>36.049999999999997</v>
      </c>
      <c r="O16" s="12">
        <v>40.630000000000003</v>
      </c>
      <c r="P16" s="56">
        <v>45.97</v>
      </c>
      <c r="Q16" s="53"/>
      <c r="R16" s="11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spans="1:30" ht="14.4" thickBot="1" x14ac:dyDescent="0.3">
      <c r="A17" s="14" t="s">
        <v>71</v>
      </c>
      <c r="B17" s="14">
        <v>126</v>
      </c>
      <c r="C17" s="12">
        <v>131.1</v>
      </c>
      <c r="D17" s="12">
        <v>135</v>
      </c>
      <c r="E17" s="12">
        <v>138.9</v>
      </c>
      <c r="F17" s="12">
        <v>143.30000000000001</v>
      </c>
      <c r="G17" s="12">
        <v>147.69999999999999</v>
      </c>
      <c r="H17" s="12">
        <v>151.6</v>
      </c>
      <c r="I17" s="12">
        <v>155.6</v>
      </c>
      <c r="J17" s="12">
        <v>24.22</v>
      </c>
      <c r="K17" s="12">
        <v>26.8</v>
      </c>
      <c r="L17" s="12">
        <v>29.84</v>
      </c>
      <c r="M17" s="12">
        <v>33.799999999999997</v>
      </c>
      <c r="N17" s="12">
        <v>38.53</v>
      </c>
      <c r="O17" s="12">
        <v>43.61</v>
      </c>
      <c r="P17" s="56">
        <v>49.59</v>
      </c>
      <c r="Q17" s="53"/>
      <c r="R17" s="11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spans="1:30" ht="14.4" thickBot="1" x14ac:dyDescent="0.3">
      <c r="A18" s="14" t="s">
        <v>72</v>
      </c>
      <c r="B18" s="14">
        <v>132</v>
      </c>
      <c r="C18" s="12">
        <v>134.19999999999999</v>
      </c>
      <c r="D18" s="12">
        <v>138.19999999999999</v>
      </c>
      <c r="E18" s="12">
        <v>142.19999999999999</v>
      </c>
      <c r="F18" s="12">
        <v>146.6</v>
      </c>
      <c r="G18" s="12">
        <v>151.1</v>
      </c>
      <c r="H18" s="12">
        <v>155.19999999999999</v>
      </c>
      <c r="I18" s="12">
        <v>159.19999999999999</v>
      </c>
      <c r="J18" s="12">
        <v>25.74</v>
      </c>
      <c r="K18" s="12">
        <v>28.53</v>
      </c>
      <c r="L18" s="12">
        <v>31.81</v>
      </c>
      <c r="M18" s="12">
        <v>36.1</v>
      </c>
      <c r="N18" s="12">
        <v>41.24</v>
      </c>
      <c r="O18" s="12">
        <v>46.78</v>
      </c>
      <c r="P18" s="56">
        <v>53.33</v>
      </c>
      <c r="Q18" s="53"/>
      <c r="R18" s="11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spans="1:30" ht="14.4" thickBot="1" x14ac:dyDescent="0.3">
      <c r="A19" s="14" t="s">
        <v>73</v>
      </c>
      <c r="B19" s="14">
        <v>138</v>
      </c>
      <c r="C19" s="12">
        <v>137.19999999999999</v>
      </c>
      <c r="D19" s="12">
        <v>141.19999999999999</v>
      </c>
      <c r="E19" s="12">
        <v>145.19999999999999</v>
      </c>
      <c r="F19" s="12">
        <v>149.69999999999999</v>
      </c>
      <c r="G19" s="12">
        <v>154.1</v>
      </c>
      <c r="H19" s="12">
        <v>158.19999999999999</v>
      </c>
      <c r="I19" s="12">
        <v>162.1</v>
      </c>
      <c r="J19" s="12">
        <v>27.43</v>
      </c>
      <c r="K19" s="12">
        <v>30.39</v>
      </c>
      <c r="L19" s="12">
        <v>33.86</v>
      </c>
      <c r="M19" s="12">
        <v>38.4</v>
      </c>
      <c r="N19" s="12">
        <v>43.85</v>
      </c>
      <c r="O19" s="12">
        <v>49.73</v>
      </c>
      <c r="P19" s="56">
        <v>56.67</v>
      </c>
      <c r="Q19" s="53"/>
      <c r="R19" s="11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spans="1:30" ht="14.4" thickBot="1" x14ac:dyDescent="0.3">
      <c r="A20" s="14" t="s">
        <v>74</v>
      </c>
      <c r="B20" s="14">
        <v>144</v>
      </c>
      <c r="C20" s="12">
        <v>140.19999999999999</v>
      </c>
      <c r="D20" s="12">
        <v>144.1</v>
      </c>
      <c r="E20" s="12">
        <v>148</v>
      </c>
      <c r="F20" s="12">
        <v>152.4</v>
      </c>
      <c r="G20" s="12">
        <v>156.69999999999999</v>
      </c>
      <c r="H20" s="12">
        <v>160.69999999999999</v>
      </c>
      <c r="I20" s="12">
        <v>164.5</v>
      </c>
      <c r="J20" s="12">
        <v>29.33</v>
      </c>
      <c r="K20" s="12">
        <v>32.42</v>
      </c>
      <c r="L20" s="12">
        <v>36.04</v>
      </c>
      <c r="M20" s="12">
        <v>40.770000000000003</v>
      </c>
      <c r="N20" s="12">
        <v>46.42</v>
      </c>
      <c r="O20" s="12">
        <v>52.49</v>
      </c>
      <c r="P20" s="56">
        <v>59.64</v>
      </c>
      <c r="Q20" s="53"/>
      <c r="R20" s="11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spans="1:30" ht="14.4" thickBot="1" x14ac:dyDescent="0.3">
      <c r="A21" s="14" t="s">
        <v>75</v>
      </c>
      <c r="B21" s="14">
        <v>150</v>
      </c>
      <c r="C21" s="12">
        <v>142.9</v>
      </c>
      <c r="D21" s="12">
        <v>146.6</v>
      </c>
      <c r="E21" s="12">
        <v>150.4</v>
      </c>
      <c r="F21" s="12">
        <v>154.6</v>
      </c>
      <c r="G21" s="12">
        <v>158.80000000000001</v>
      </c>
      <c r="H21" s="12">
        <v>162.6</v>
      </c>
      <c r="I21" s="12">
        <v>166.3</v>
      </c>
      <c r="J21" s="12">
        <v>31.22</v>
      </c>
      <c r="K21" s="12">
        <v>34.39</v>
      </c>
      <c r="L21" s="12">
        <v>38.090000000000003</v>
      </c>
      <c r="M21" s="12">
        <v>42.89</v>
      </c>
      <c r="N21" s="12">
        <v>48.6</v>
      </c>
      <c r="O21" s="12">
        <v>54.71</v>
      </c>
      <c r="P21" s="56">
        <v>61.86</v>
      </c>
      <c r="Q21" s="53"/>
      <c r="R21" s="11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spans="1:30" ht="14.4" thickBot="1" x14ac:dyDescent="0.3">
      <c r="A22" s="14" t="s">
        <v>76</v>
      </c>
      <c r="B22" s="14">
        <v>156</v>
      </c>
      <c r="C22" s="12">
        <v>145</v>
      </c>
      <c r="D22" s="12">
        <v>148.6</v>
      </c>
      <c r="E22" s="12">
        <v>152.19999999999999</v>
      </c>
      <c r="F22" s="12">
        <v>156.30000000000001</v>
      </c>
      <c r="G22" s="12">
        <v>160.30000000000001</v>
      </c>
      <c r="H22" s="12">
        <v>164</v>
      </c>
      <c r="I22" s="12">
        <v>167.6</v>
      </c>
      <c r="J22" s="12">
        <v>33.090000000000003</v>
      </c>
      <c r="K22" s="12">
        <v>36.29</v>
      </c>
      <c r="L22" s="12">
        <v>40</v>
      </c>
      <c r="M22" s="12">
        <v>44.79</v>
      </c>
      <c r="N22" s="12">
        <v>50.45</v>
      </c>
      <c r="O22" s="12">
        <v>56.46</v>
      </c>
      <c r="P22" s="56">
        <v>63.45</v>
      </c>
      <c r="Q22" s="53"/>
      <c r="R22" s="11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spans="1:30" ht="14.4" thickBot="1" x14ac:dyDescent="0.3">
      <c r="A23" s="14" t="s">
        <v>77</v>
      </c>
      <c r="B23" s="14">
        <v>162</v>
      </c>
      <c r="C23" s="12">
        <v>146.69999999999999</v>
      </c>
      <c r="D23" s="12">
        <v>150.19999999999999</v>
      </c>
      <c r="E23" s="12">
        <v>153.69999999999999</v>
      </c>
      <c r="F23" s="12">
        <v>157.6</v>
      </c>
      <c r="G23" s="12">
        <v>161.6</v>
      </c>
      <c r="H23" s="12">
        <v>165.1</v>
      </c>
      <c r="I23" s="12">
        <v>168.6</v>
      </c>
      <c r="J23" s="12">
        <v>34.82</v>
      </c>
      <c r="K23" s="12">
        <v>38.01</v>
      </c>
      <c r="L23" s="12">
        <v>41.69</v>
      </c>
      <c r="M23" s="12">
        <v>46.42</v>
      </c>
      <c r="N23" s="12">
        <v>51.97</v>
      </c>
      <c r="O23" s="12">
        <v>57.81</v>
      </c>
      <c r="P23" s="56">
        <v>64.55</v>
      </c>
      <c r="Q23" s="53"/>
      <c r="R23" s="11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spans="1:30" ht="14.4" thickBot="1" x14ac:dyDescent="0.3">
      <c r="A24" s="14" t="s">
        <v>78</v>
      </c>
      <c r="B24" s="14">
        <v>168</v>
      </c>
      <c r="C24" s="12">
        <v>147.9</v>
      </c>
      <c r="D24" s="12">
        <v>151.30000000000001</v>
      </c>
      <c r="E24" s="12">
        <v>154.80000000000001</v>
      </c>
      <c r="F24" s="12">
        <v>158.6</v>
      </c>
      <c r="G24" s="12">
        <v>162.4</v>
      </c>
      <c r="H24" s="12">
        <v>165.9</v>
      </c>
      <c r="I24" s="12">
        <v>169.3</v>
      </c>
      <c r="J24" s="12">
        <v>36.380000000000003</v>
      </c>
      <c r="K24" s="12">
        <v>39.549999999999997</v>
      </c>
      <c r="L24" s="12">
        <v>43.19</v>
      </c>
      <c r="M24" s="12">
        <v>47.83</v>
      </c>
      <c r="N24" s="12">
        <v>53.23</v>
      </c>
      <c r="O24" s="12">
        <v>58.88</v>
      </c>
      <c r="P24" s="56">
        <v>65.36</v>
      </c>
      <c r="Q24" s="53"/>
      <c r="R24" s="11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spans="1:30" ht="14.4" thickBot="1" x14ac:dyDescent="0.3">
      <c r="A25" s="14" t="s">
        <v>79</v>
      </c>
      <c r="B25" s="14">
        <v>174</v>
      </c>
      <c r="C25" s="12">
        <v>148.9</v>
      </c>
      <c r="D25" s="12">
        <v>152.19999999999999</v>
      </c>
      <c r="E25" s="12">
        <v>155.6</v>
      </c>
      <c r="F25" s="12">
        <v>159.4</v>
      </c>
      <c r="G25" s="12">
        <v>163.1</v>
      </c>
      <c r="H25" s="12">
        <v>166.5</v>
      </c>
      <c r="I25" s="12">
        <v>169.8</v>
      </c>
      <c r="J25" s="12">
        <v>37.71</v>
      </c>
      <c r="K25" s="12">
        <v>40.840000000000003</v>
      </c>
      <c r="L25" s="12">
        <v>44.43</v>
      </c>
      <c r="M25" s="12">
        <v>48.97</v>
      </c>
      <c r="N25" s="12">
        <v>54.23</v>
      </c>
      <c r="O25" s="12">
        <v>59.7</v>
      </c>
      <c r="P25" s="56">
        <v>65.930000000000007</v>
      </c>
      <c r="Q25" s="53"/>
      <c r="R25" s="11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spans="1:30" ht="14.4" thickBot="1" x14ac:dyDescent="0.3">
      <c r="A26" s="14" t="s">
        <v>80</v>
      </c>
      <c r="B26" s="14">
        <v>180</v>
      </c>
      <c r="C26" s="12">
        <v>149.5</v>
      </c>
      <c r="D26" s="12">
        <v>152.80000000000001</v>
      </c>
      <c r="E26" s="12">
        <v>156.1</v>
      </c>
      <c r="F26" s="12">
        <v>159.80000000000001</v>
      </c>
      <c r="G26" s="12">
        <v>163.5</v>
      </c>
      <c r="H26" s="12">
        <v>166.8</v>
      </c>
      <c r="I26" s="12">
        <v>170.1</v>
      </c>
      <c r="J26" s="12">
        <v>38.729999999999997</v>
      </c>
      <c r="K26" s="12">
        <v>41.83</v>
      </c>
      <c r="L26" s="12">
        <v>45.36</v>
      </c>
      <c r="M26" s="12">
        <v>49.82</v>
      </c>
      <c r="N26" s="12">
        <v>54.96</v>
      </c>
      <c r="O26" s="12">
        <v>60.28</v>
      </c>
      <c r="P26" s="56">
        <v>66.3</v>
      </c>
      <c r="Q26" s="53"/>
      <c r="R26" s="11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spans="1:30" ht="14.4" thickBot="1" x14ac:dyDescent="0.3">
      <c r="A27" s="14" t="s">
        <v>81</v>
      </c>
      <c r="B27" s="14">
        <v>186</v>
      </c>
      <c r="C27" s="12">
        <v>149.9</v>
      </c>
      <c r="D27" s="12">
        <v>153.1</v>
      </c>
      <c r="E27" s="12">
        <v>156.5</v>
      </c>
      <c r="F27" s="12">
        <v>160.1</v>
      </c>
      <c r="G27" s="12">
        <v>163.80000000000001</v>
      </c>
      <c r="H27" s="12">
        <v>167.1</v>
      </c>
      <c r="I27" s="12">
        <v>170.3</v>
      </c>
      <c r="J27" s="12">
        <v>39.51</v>
      </c>
      <c r="K27" s="12">
        <v>42.58</v>
      </c>
      <c r="L27" s="12">
        <v>46.06</v>
      </c>
      <c r="M27" s="12">
        <v>50.45</v>
      </c>
      <c r="N27" s="12">
        <v>55.49</v>
      </c>
      <c r="O27" s="12">
        <v>60.69</v>
      </c>
      <c r="P27" s="56">
        <v>66.55</v>
      </c>
      <c r="Q27" s="53"/>
      <c r="R27" s="11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spans="1:30" ht="14.4" thickBot="1" x14ac:dyDescent="0.3">
      <c r="A28" s="14" t="s">
        <v>82</v>
      </c>
      <c r="B28" s="14">
        <v>192</v>
      </c>
      <c r="C28" s="12">
        <v>149.80000000000001</v>
      </c>
      <c r="D28" s="12">
        <v>153.1</v>
      </c>
      <c r="E28" s="12">
        <v>156.4</v>
      </c>
      <c r="F28" s="12">
        <v>160.1</v>
      </c>
      <c r="G28" s="12">
        <v>163.80000000000001</v>
      </c>
      <c r="H28" s="12">
        <v>167.1</v>
      </c>
      <c r="I28" s="12">
        <v>170.3</v>
      </c>
      <c r="J28" s="12">
        <v>39.96</v>
      </c>
      <c r="K28" s="12">
        <v>43.01</v>
      </c>
      <c r="L28" s="12">
        <v>46.47</v>
      </c>
      <c r="M28" s="12">
        <v>50.81</v>
      </c>
      <c r="N28" s="12">
        <v>55.79</v>
      </c>
      <c r="O28" s="12">
        <v>60.91</v>
      </c>
      <c r="P28" s="56">
        <v>66.69</v>
      </c>
      <c r="Q28" s="53"/>
      <c r="R28" s="11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spans="1:30" ht="14.4" thickBot="1" x14ac:dyDescent="0.3">
      <c r="A29" s="14" t="s">
        <v>83</v>
      </c>
      <c r="B29" s="14">
        <v>198</v>
      </c>
      <c r="C29" s="12">
        <v>149.9</v>
      </c>
      <c r="D29" s="12">
        <v>153.19999999999999</v>
      </c>
      <c r="E29" s="12">
        <v>156.5</v>
      </c>
      <c r="F29" s="12">
        <v>160.19999999999999</v>
      </c>
      <c r="G29" s="12">
        <v>163.80000000000001</v>
      </c>
      <c r="H29" s="12">
        <v>167.1</v>
      </c>
      <c r="I29" s="12">
        <v>170.4</v>
      </c>
      <c r="J29" s="12">
        <v>40.29</v>
      </c>
      <c r="K29" s="12">
        <v>43.32</v>
      </c>
      <c r="L29" s="12">
        <v>46.76</v>
      </c>
      <c r="M29" s="12">
        <v>51.07</v>
      </c>
      <c r="N29" s="12">
        <v>56.01</v>
      </c>
      <c r="O29" s="12">
        <v>61.07</v>
      </c>
      <c r="P29" s="56">
        <v>66.78</v>
      </c>
      <c r="Q29" s="53"/>
      <c r="R29" s="11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spans="1:30" ht="14.4" thickBot="1" x14ac:dyDescent="0.3">
      <c r="A30" s="14" t="s">
        <v>84</v>
      </c>
      <c r="B30" s="14">
        <v>204</v>
      </c>
      <c r="C30" s="12">
        <v>150.1</v>
      </c>
      <c r="D30" s="12">
        <v>153.4</v>
      </c>
      <c r="E30" s="12">
        <v>156.69999999999999</v>
      </c>
      <c r="F30" s="12">
        <v>160.30000000000001</v>
      </c>
      <c r="G30" s="12">
        <v>164</v>
      </c>
      <c r="H30" s="12">
        <v>167.3</v>
      </c>
      <c r="I30" s="12">
        <v>170.5</v>
      </c>
      <c r="J30" s="12">
        <v>40.44</v>
      </c>
      <c r="K30" s="12">
        <v>43.47</v>
      </c>
      <c r="L30" s="12">
        <v>46.9</v>
      </c>
      <c r="M30" s="12">
        <v>51.2</v>
      </c>
      <c r="N30" s="12">
        <v>56.11</v>
      </c>
      <c r="O30" s="12">
        <v>61.15</v>
      </c>
      <c r="P30" s="56">
        <v>66.819999999999993</v>
      </c>
      <c r="Q30" s="53"/>
      <c r="R30" s="11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spans="1:30" ht="14.4" thickBot="1" x14ac:dyDescent="0.3">
      <c r="A31" s="14" t="s">
        <v>85</v>
      </c>
      <c r="B31" s="55">
        <v>216</v>
      </c>
      <c r="C31" s="13">
        <v>150.4</v>
      </c>
      <c r="D31" s="13">
        <v>153.69999999999999</v>
      </c>
      <c r="E31" s="13">
        <v>157</v>
      </c>
      <c r="F31" s="13">
        <v>160.6</v>
      </c>
      <c r="G31" s="13">
        <v>164.2</v>
      </c>
      <c r="H31" s="13">
        <v>167.5</v>
      </c>
      <c r="I31" s="13">
        <v>170.7</v>
      </c>
      <c r="J31" s="13">
        <v>40.71</v>
      </c>
      <c r="K31" s="13">
        <v>43.73</v>
      </c>
      <c r="L31" s="13">
        <v>47.14</v>
      </c>
      <c r="M31" s="13">
        <v>51.41</v>
      </c>
      <c r="N31" s="13">
        <v>56.28</v>
      </c>
      <c r="O31" s="13">
        <v>61.28</v>
      </c>
      <c r="P31" s="57">
        <v>66.89</v>
      </c>
      <c r="Q31" s="53"/>
      <c r="R31" s="11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</sheetData>
  <protectedRanges>
    <protectedRange algorithmName="SHA-512" hashValue="tgdTsx4/GXU4lrIPOkFdUKZKo9lbhHHoTmE3qI1FcrCuGU5gVSMbsRWC2682tZ+7UD9/K3uVJvF0XgU6XM2g/w==" saltValue="COAZPGeH3xf+qkxIxn1DIA==" spinCount="100000" sqref="Q1:Z1" name="区域2"/>
  </protectedRanges>
  <phoneticPr fontId="1" type="noConversion"/>
  <dataValidations count="2">
    <dataValidation type="list" allowBlank="1" showInputMessage="1" showErrorMessage="1" sqref="R2:R31" xr:uid="{7526540A-4A95-4AD2-8F82-8B61F656C2C8}">
      <formula1>"男,女"</formula1>
    </dataValidation>
    <dataValidation type="list" allowBlank="1" showInputMessage="1" showErrorMessage="1" sqref="T2:T31" xr:uid="{FC880FBF-000B-4DD1-BAF6-1E1F1177CC57}">
      <formula1>$A$2:$A$31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百分位指标源数据-男</vt:lpstr>
      <vt:lpstr>百分位指标源数据-女</vt:lpstr>
      <vt:lpstr>0-3岁儿童（男）身高、体重、BMI</vt:lpstr>
      <vt:lpstr>3-18岁儿童青少年（男）身高、体重、BMI</vt:lpstr>
      <vt:lpstr>0-3岁儿童（女）身高、体重、BMI</vt:lpstr>
      <vt:lpstr>3-18岁儿童青少年（女）身高、体重、BMI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2025-11-22T13:13:47Z</cp:lastPrinted>
  <dcterms:created xsi:type="dcterms:W3CDTF">2015-06-05T18:19:34Z</dcterms:created>
  <dcterms:modified xsi:type="dcterms:W3CDTF">2026-03-07T11:13:38Z</dcterms:modified>
</cp:coreProperties>
</file>